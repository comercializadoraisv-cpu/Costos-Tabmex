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0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01\Downloads\"/>
    </mc:Choice>
  </mc:AlternateContent>
  <xr:revisionPtr revIDLastSave="0" documentId="13_ncr:1_{E1D748FB-433E-45CA-865E-AE63231A903F}" xr6:coauthVersionLast="47" xr6:coauthVersionMax="47" xr10:uidLastSave="{00000000-0000-0000-0000-000000000000}"/>
  <bookViews>
    <workbookView xWindow="28680" yWindow="-3390" windowWidth="51840" windowHeight="21120" activeTab="1" xr2:uid="{00000000-000D-0000-FFFF-FFFF00000000}"/>
  </bookViews>
  <sheets>
    <sheet name="Inicio" sheetId="1" r:id="rId1"/>
    <sheet name="Captura" sheetId="2" r:id="rId2"/>
    <sheet name="Resumen" sheetId="3" r:id="rId3"/>
    <sheet name="Pagos fijos" sheetId="10" r:id="rId15"/>
    <sheet name="Catalogos" sheetId="4" r:id="rId4"/>
    <sheet name="Tabmex" sheetId="5" r:id="rId5"/>
    <sheet name="Contrato voceo" sheetId="6" r:id="rId6"/>
    <sheet name="Producción" sheetId="7" r:id="rId7"/>
    <sheet name="_Movimientos" sheetId="8" state="hidden" r:id="rId8"/>
    <sheet name="_Plantilla" sheetId="9" state="hidden" r:id="rId9"/>
  </sheets>
  <definedNames>
    <definedName name="FactorCargaSocial">Catalogos!$J$4</definedName>
    <definedName name="ListaConceptos">Catalogos!$E$4:$E$23</definedName>
    <definedName name="ListaEmpleados">Catalogos!$C$4:$C$203</definedName>
    <definedName name="ListaProyectos">Catalogos!$A$4:$A$203</definedName>
    <definedName name="ListaPuestos">Catalogos!$G$4:$G$203</definedName>
    <definedName name="PagosProyecto">'Pagos fijos'!$D$5:$D$1000</definedName>
    <definedName name="PagosMonto">'Pagos fijos'!$F$5:$F$1000</definedName>
    <definedName name="PagosEstatus">'Pagos fijos'!$G$5:$G$1000</definedName>
  </definedNames>
  <calcPr calcId="191029" iterateDelta="1E-4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<sst xmlns="http://schemas.openxmlformats.org/spreadsheetml/2006/main" count="131" uniqueCount="56">
  <si>
    <t>NOMINA POR PROYECTO  -  Guia rapida</t>
  </si>
  <si>
    <t>1. Activa las macros: al abrir, si sale la barra amarilla arriba, pulsa 'Habilitar contenido'.</t>
  </si>
  <si>
    <t>2. La macro YA viene incrustada en este libro: no hay que importar nada ni entrar al editor.</t>
  </si>
  <si>
    <t>3. Ve a la hoja CAPTURA y llena: Fecha, Quincena, Proyecto, Empleado, Puesto, Concepto, Sueldo, Bonos, Otras prestaciones.</t>
  </si>
  <si>
    <t>4. Pulsa el boton CARGAR GASTO (o Alt+F8 -&gt; CargarGasto -&gt; Ejecutar).</t>
  </si>
  <si>
    <t>5. El registro se manda a la hoja del proyecto (la crea si no existe) y al libro _Movimientos.</t>
  </si>
  <si>
    <t>6. RESUMEN y los totales por proyecto se actualizan solos (formulas SUMIFS).</t>
  </si>
  <si>
    <t>CATALOGOS: edita aqui tus Proyectos, Empleados, Puestos, Conceptos y el Factor de carga social patronal (%).</t>
  </si>
  <si>
    <t>Si el factor es 0% solo se cuenta lo pagado en mano; subelo para reflejar el costo patronal real.</t>
  </si>
  <si>
    <t>IMPORTANTE: al guardar conserva el formato .xlsm (Excel a veces sugiere .xlsx, que borra las macros).</t>
  </si>
  <si>
    <t>CAPTURA DE GASTO DE NOMINA</t>
  </si>
  <si>
    <t>Fecha</t>
  </si>
  <si>
    <t>Quincena</t>
  </si>
  <si>
    <t>Proyecto</t>
  </si>
  <si>
    <t>Empleado</t>
  </si>
  <si>
    <t>Puesto / Cargo</t>
  </si>
  <si>
    <t>Concepto</t>
  </si>
  <si>
    <t>Sueldo base</t>
  </si>
  <si>
    <t>Bonos</t>
  </si>
  <si>
    <t>Otras prestaciones</t>
  </si>
  <si>
    <t>TOTAL (vista previa)</t>
  </si>
  <si>
    <t>C16 es solo vista previa del registro; no es un boton. Llena los campos y pulsa el boton CARGAR GASTO (o Alt+F8 -&gt; CargarGasto).</t>
  </si>
  <si>
    <t>RESUMEN CONSOLIDADO POR PROYECTO</t>
  </si>
  <si>
    <t>Total percibido</t>
  </si>
  <si>
    <t>Carga social</t>
  </si>
  <si>
    <t>Costo total</t>
  </si>
  <si>
    <t>TOTAL GENERAL</t>
  </si>
  <si>
    <t>CATALOGOS</t>
  </si>
  <si>
    <t>Proyectos</t>
  </si>
  <si>
    <t>Empleados</t>
  </si>
  <si>
    <t>Conceptos</t>
  </si>
  <si>
    <t>Puestos / Cargos</t>
  </si>
  <si>
    <t>Parametros</t>
  </si>
  <si>
    <t>Tabmex</t>
  </si>
  <si>
    <t>Factor de carga social patronal (%)</t>
  </si>
  <si>
    <t>Contrato voceo</t>
  </si>
  <si>
    <t>Bono de productividad</t>
  </si>
  <si>
    <t>Producción</t>
  </si>
  <si>
    <t>Bono puntualidad</t>
  </si>
  <si>
    <t>Estimado de IMSS, Infonavit y provisiones (aguinaldo, prima vacacional). En 0% solo se cuenta lo pagado en mano. Subelo para reflejar el costo patronal real por proyecto.</t>
  </si>
  <si>
    <t>Aguinaldo</t>
  </si>
  <si>
    <t>Prima vacacional</t>
  </si>
  <si>
    <t>Comisiones</t>
  </si>
  <si>
    <t>Otra prestacion</t>
  </si>
  <si>
    <t>GASTO DE NOMINA POR PROYECTO</t>
  </si>
  <si>
    <t>Total percibido:</t>
  </si>
  <si>
    <t>Costo total c/carga social:</t>
  </si>
  <si>
    <t>Puesto</t>
  </si>
  <si>
    <t>Sueldo</t>
  </si>
  <si>
    <t>Costo c/carga social</t>
  </si>
  <si>
    <t>_Plantilla</t>
  </si>
  <si>
    <t>Iván Gonzalo Sánchez Vergara</t>
  </si>
  <si>
    <t>Finanzas</t>
  </si>
  <si>
    <t>1ra quincena</t>
  </si>
  <si>
    <t>Juan David Cañon Vergara</t>
  </si>
  <si>
    <t>Lider Programacion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</si>
</sst>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&quot; MXN&quot;;[Red]\-#,##0.00&quot; MXN&quot;"/>
    <numFmt numFmtId="165" formatCode="0.0%"/>
  </numFmts>
  <fonts count="13" x14ac:knownFonts="1">
    <font>
      <sz val="11"/>
      <color theme="1"/>
      <name val="Calibri"/>
      <family val="2"/>
      <charset val="1"/>
    </font>
    <font>
      <b/>
      <sz val="16"/>
      <color rgb="FFFFFFFF"/>
      <name val="Calibri"/>
      <charset val="1"/>
    </font>
    <font>
      <sz val="11"/>
      <name val="Cambria"/>
      <charset val="1"/>
    </font>
    <font>
      <b/>
      <sz val="11"/>
      <color rgb="FF1F4E79"/>
      <name val="Cambria"/>
      <charset val="1"/>
    </font>
    <font>
      <sz val="11"/>
      <name val="Calibri"/>
      <charset val="1"/>
    </font>
    <font>
      <b/>
      <sz val="11"/>
      <color rgb="FF1F4E79"/>
      <name val="Calibri"/>
      <charset val="1"/>
    </font>
    <font>
      <b/>
      <sz val="12"/>
      <color rgb="FF1F4E79"/>
      <name val="Cambria"/>
      <charset val="1"/>
    </font>
    <font>
      <b/>
      <sz val="12"/>
      <color rgb="FF548235"/>
      <name val="Cambria"/>
      <charset val="1"/>
    </font>
    <font>
      <i/>
      <sz val="9"/>
      <color rgb="FF808080"/>
      <name val="Calibri"/>
      <charset val="1"/>
    </font>
    <font>
      <b/>
      <sz val="11"/>
      <color rgb="FFFFFFFF"/>
      <name val="Calibri"/>
      <charset val="1"/>
    </font>
    <font>
      <b/>
      <sz val="11"/>
      <name val="Cambria"/>
      <charset val="1"/>
    </font>
    <font>
      <b/>
      <sz val="11"/>
      <color rgb="FF548235"/>
      <name val="Cambria"/>
      <charset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FFF2CC"/>
        <bgColor rgb="FFFFFFFF"/>
      </patternFill>
    </fill>
    <fill>
      <patternFill patternType="solid">
        <fgColor rgb="FFDDEBF7"/>
        <bgColor rgb="FFCCFFFF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0" borderId="0" xfId="0" applyFont="1" applyAlignment="1">
      <alignment horizontal="right" vertical="center"/>
    </xf>
    <xf numFmtId="14" fontId="4" fillId="3" borderId="1" xfId="0" applyNumberFormat="1" applyFont="1" applyFill="1" applyBorder="1"/>
    <xf numFmtId="0" fontId="4" fillId="3" borderId="1" xfId="0" applyFont="1" applyFill="1" applyBorder="1"/>
    <xf numFmtId="164" fontId="4" fillId="3" borderId="1" xfId="0" applyNumberFormat="1" applyFont="1" applyFill="1" applyBorder="1"/>
    <xf numFmtId="0" fontId="6" fillId="0" borderId="0" xfId="0" applyFont="1" applyAlignment="1">
      <alignment horizontal="right" vertical="center"/>
    </xf>
    <xf numFmtId="164" fontId="7" fillId="4" borderId="1" xfId="0" applyNumberFormat="1" applyFont="1" applyFill="1" applyBorder="1"/>
    <xf numFmtId="0" fontId="9" fillId="2" borderId="1" xfId="0" applyFont="1" applyFill="1" applyBorder="1" applyAlignment="1">
      <alignment horizontal="center" vertical="center"/>
    </xf>
    <xf numFmtId="0" fontId="0" fillId="0" borderId="1" xfId="0" applyBorder="1"/>
    <xf numFmtId="164" fontId="0" fillId="0" borderId="1" xfId="0" applyNumberFormat="1" applyBorder="1"/>
    <xf numFmtId="164" fontId="10" fillId="0" borderId="1" xfId="0" applyNumberFormat="1" applyFont="1" applyBorder="1"/>
    <xf numFmtId="0" fontId="3" fillId="0" borderId="0" xfId="0" applyFont="1"/>
    <xf numFmtId="164" fontId="11" fillId="4" borderId="1" xfId="0" applyNumberFormat="1" applyFont="1" applyFill="1" applyBorder="1"/>
    <xf numFmtId="0" fontId="9" fillId="2" borderId="0" xfId="0" applyFont="1" applyFill="1"/>
    <xf numFmtId="0" fontId="4" fillId="0" borderId="1" xfId="0" applyFont="1" applyBorder="1"/>
    <xf numFmtId="0" fontId="5" fillId="0" borderId="0" xfId="0" applyFont="1" applyAlignment="1">
      <alignment horizontal="left" vertical="top" wrapText="1"/>
    </xf>
    <xf numFmtId="165" fontId="4" fillId="3" borderId="1" xfId="0" applyNumberFormat="1" applyFont="1" applyFill="1" applyBorder="1"/>
    <xf numFmtId="164" fontId="11" fillId="0" borderId="0" xfId="0" applyNumberFormat="1" applyFont="1"/>
    <xf numFmtId="14" fontId="0" fillId="0" borderId="0" xfId="0" applyNumberFormat="1"/>
    <xf numFmtId="4" fontId="0" fillId="0" borderId="0" xfId="0" applyNumberFormat="1"/>
    <xf numFmtId="0" fontId="4" fillId="0" borderId="2" xfId="0" applyFont="1" applyFill="1" applyBorder="1"/>
    <xf numFmtId="0" fontId="1" fillId="2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top" wrapText="1"/>
    </xf>
    <xf numFmtId="0" fontId="5" fillId="0" borderId="0" xfId="0" applyFont="1" applyBorder="1"/>
    <xf numFmtId="0" fontId="5" fillId="0" borderId="0" xfId="0" applyFont="1" applyBorder="1" applyAlignment="1">
      <alignment horizontal="right" vertical="center"/>
    </xf>
    <xf numFmtId="1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BFBFBF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Relationship Id="rId15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0</xdr:rowOff>
        </xdr:from>
        <xdr:to>
          <xdr:col>2</xdr:col>
          <xdr:colOff>57150</xdr:colOff>
          <xdr:row>23</xdr:row>
          <xdr:rowOff>114300</xdr:rowOff>
        </xdr:to>
        <xdr:sp macro="[0]!CargarGasto" textlink="">
          <xdr:nvSpPr>
            <xdr:cNvPr id="1025" name="btnCarg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CARGAR GASTO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H14"/>
  <sheetViews>
    <sheetView showGridLines="0" zoomScaleNormal="100" workbookViewId="0"/>
  </sheetViews>
  <sheetFormatPr baseColWidth="10" defaultColWidth="8.54296875" defaultRowHeight="14.5" x14ac:dyDescent="0.35"/>
  <cols>
    <col min="1" max="1" width="3" customWidth="1"/>
    <col min="2" max="8" width="16" customWidth="1"/>
  </cols>
  <sheetData>
    <row r="2" spans="2:8" ht="21" x14ac:dyDescent="0.35">
      <c r="B2" s="21" t="s">
        <v>0</v>
      </c>
      <c r="C2" s="21"/>
      <c r="D2" s="21"/>
      <c r="E2" s="21"/>
      <c r="F2" s="21"/>
      <c r="G2" s="21"/>
      <c r="H2" s="21"/>
    </row>
    <row r="4" spans="2:8" x14ac:dyDescent="0.35">
      <c r="B4" s="22" t="s">
        <v>1</v>
      </c>
      <c r="C4" s="22"/>
      <c r="D4" s="22"/>
      <c r="E4" s="22"/>
      <c r="F4" s="22"/>
      <c r="G4" s="22"/>
      <c r="H4" s="22"/>
    </row>
    <row r="5" spans="2:8" x14ac:dyDescent="0.35">
      <c r="B5" s="22" t="s">
        <v>2</v>
      </c>
      <c r="C5" s="22"/>
      <c r="D5" s="22"/>
      <c r="E5" s="22"/>
      <c r="F5" s="22"/>
      <c r="G5" s="22"/>
      <c r="H5" s="22"/>
    </row>
    <row r="6" spans="2:8" x14ac:dyDescent="0.35">
      <c r="B6" s="22" t="s">
        <v>3</v>
      </c>
      <c r="C6" s="22"/>
      <c r="D6" s="22"/>
      <c r="E6" s="22"/>
      <c r="F6" s="22"/>
      <c r="G6" s="22"/>
      <c r="H6" s="22"/>
    </row>
    <row r="7" spans="2:8" x14ac:dyDescent="0.35">
      <c r="B7" s="22" t="s">
        <v>4</v>
      </c>
      <c r="C7" s="22"/>
      <c r="D7" s="22"/>
      <c r="E7" s="22"/>
      <c r="F7" s="22"/>
      <c r="G7" s="22"/>
      <c r="H7" s="22"/>
    </row>
    <row r="8" spans="2:8" x14ac:dyDescent="0.35">
      <c r="B8" s="22" t="s">
        <v>5</v>
      </c>
      <c r="C8" s="22"/>
      <c r="D8" s="22"/>
      <c r="E8" s="22"/>
      <c r="F8" s="22"/>
      <c r="G8" s="22"/>
      <c r="H8" s="22"/>
    </row>
    <row r="9" spans="2:8" x14ac:dyDescent="0.35">
      <c r="B9" s="22" t="s">
        <v>6</v>
      </c>
      <c r="C9" s="22"/>
      <c r="D9" s="22"/>
      <c r="E9" s="22"/>
      <c r="F9" s="22"/>
      <c r="G9" s="22"/>
      <c r="H9" s="22"/>
    </row>
    <row r="10" spans="2:8" x14ac:dyDescent="0.35">
      <c r="B10" s="22"/>
      <c r="C10" s="22"/>
      <c r="D10" s="22"/>
      <c r="E10" s="22"/>
      <c r="F10" s="22"/>
      <c r="G10" s="22"/>
      <c r="H10" s="22"/>
    </row>
    <row r="11" spans="2:8" x14ac:dyDescent="0.35">
      <c r="B11" s="23" t="s">
        <v>7</v>
      </c>
      <c r="C11" s="23"/>
      <c r="D11" s="23"/>
      <c r="E11" s="23"/>
      <c r="F11" s="23"/>
      <c r="G11" s="23"/>
      <c r="H11" s="23"/>
    </row>
    <row r="12" spans="2:8" x14ac:dyDescent="0.35">
      <c r="B12" s="24" t="s">
        <v>8</v>
      </c>
      <c r="C12" s="24"/>
      <c r="D12" s="24"/>
      <c r="E12" s="24"/>
      <c r="F12" s="24"/>
      <c r="G12" s="24"/>
      <c r="H12" s="24"/>
    </row>
    <row r="13" spans="2:8" x14ac:dyDescent="0.35">
      <c r="B13" s="22"/>
      <c r="C13" s="22"/>
      <c r="D13" s="22"/>
      <c r="E13" s="22"/>
      <c r="F13" s="22"/>
      <c r="G13" s="22"/>
      <c r="H13" s="22"/>
    </row>
    <row r="14" spans="2:8" x14ac:dyDescent="0.35">
      <c r="B14" s="23" t="s">
        <v>9</v>
      </c>
      <c r="C14" s="23"/>
      <c r="D14" s="23"/>
      <c r="E14" s="23"/>
      <c r="F14" s="23"/>
      <c r="G14" s="23"/>
      <c r="H14" s="23"/>
    </row>
  </sheetData>
  <mergeCells count="12">
    <mergeCell ref="B13:H13"/>
    <mergeCell ref="B14:H14"/>
    <mergeCell ref="B8:H8"/>
    <mergeCell ref="B9:H9"/>
    <mergeCell ref="B10:H10"/>
    <mergeCell ref="B11:H11"/>
    <mergeCell ref="B12:H12"/>
    <mergeCell ref="B2:H2"/>
    <mergeCell ref="B4:H4"/>
    <mergeCell ref="B5:H5"/>
    <mergeCell ref="B6:H6"/>
    <mergeCell ref="B7:H7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D21"/>
  <sheetViews>
    <sheetView showGridLines="0" tabSelected="1" zoomScaleNormal="100" workbookViewId="0">
      <selection activeCell="G16" sqref="G16"/>
    </sheetView>
  </sheetViews>
  <sheetFormatPr baseColWidth="10" defaultColWidth="8.54296875" defaultRowHeight="14.5" x14ac:dyDescent="0.35"/>
  <cols>
    <col min="1" max="1" width="3" customWidth="1"/>
    <col min="2" max="2" width="22" customWidth="1"/>
    <col min="3" max="3" width="26" customWidth="1"/>
    <col min="4" max="4" width="6" customWidth="1"/>
  </cols>
  <sheetData>
    <row r="2" spans="2:4" ht="21" x14ac:dyDescent="0.35">
      <c r="B2" s="21" t="s">
        <v>10</v>
      </c>
      <c r="C2" s="21"/>
      <c r="D2" s="21"/>
    </row>
    <row r="4" spans="2:4" x14ac:dyDescent="0.35">
      <c r="B4" s="1" t="s">
        <v>11</v>
      </c>
      <c r="C4" s="2">
        <v>46191</v>
      </c>
    </row>
    <row r="5" spans="2:4" x14ac:dyDescent="0.35">
      <c r="B5" s="1" t="s">
        <v>12</v>
      </c>
      <c r="C5" s="3" t="s">
        <v>53</v>
      </c>
    </row>
    <row r="6" spans="2:4" x14ac:dyDescent="0.35">
      <c r="B6" s="1" t="s">
        <v>13</v>
      </c>
      <c r="C6" s="3" t="s">
        <v>33</v>
      </c>
    </row>
    <row r="7" spans="2:4" x14ac:dyDescent="0.35">
      <c r="B7" s="1" t="s">
        <v>14</v>
      </c>
      <c r="C7" s="3" t="s">
        <v>51</v>
      </c>
    </row>
    <row r="8" spans="2:4" x14ac:dyDescent="0.35">
      <c r="B8" s="1" t="s">
        <v>15</v>
      </c>
      <c r="C8" s="3" t="s">
        <v>52</v>
      </c>
    </row>
    <row r="9" spans="2:4" x14ac:dyDescent="0.35">
      <c r="B9" s="1" t="s">
        <v>16</v>
      </c>
      <c r="C9" s="3" t="s">
        <v>17</v>
      </c>
    </row>
    <row r="11" spans="2:4" x14ac:dyDescent="0.35">
      <c r="B11" s="1" t="s">
        <v>17</v>
      </c>
      <c r="C11" s="4">
        <v>30000</v>
      </c>
    </row>
    <row r="12" spans="2:4" x14ac:dyDescent="0.35">
      <c r="B12" s="1" t="s">
        <v>18</v>
      </c>
      <c r="C12" s="4"/>
    </row>
    <row r="13" spans="2:4" x14ac:dyDescent="0.35">
      <c r="B13" s="1" t="s">
        <v>19</v>
      </c>
      <c r="C13" s="4"/>
    </row>
    <row r="16" spans="2:4" ht="15.5" x14ac:dyDescent="0.35">
      <c r="B16" s="5" t="s">
        <v>20</v>
      </c>
      <c r="C16" s="6">
        <f>N(C11)+N(C12)+N(C13)</f>
        <v>30000</v>
      </c>
    </row>
    <row r="19" spans="2:4" ht="15" customHeight="1" x14ac:dyDescent="0.35">
      <c r="B19" s="25" t="s">
        <v>21</v>
      </c>
      <c r="C19" s="25"/>
      <c r="D19" s="25"/>
    </row>
    <row r="20" spans="2:4" x14ac:dyDescent="0.35">
      <c r="B20" s="25"/>
      <c r="C20" s="25"/>
      <c r="D20" s="25"/>
    </row>
    <row r="21" spans="2:4" x14ac:dyDescent="0.35">
      <c r="B21" s="25"/>
      <c r="C21" s="25"/>
      <c r="D21" s="25"/>
    </row>
  </sheetData>
  <mergeCells count="2">
    <mergeCell ref="B2:D2"/>
    <mergeCell ref="B19:D21"/>
  </mergeCells>
  <dataValidations count="5">
    <dataValidation type="list" allowBlank="1" sqref="C5" xr:uid="{00000000-0002-0000-0100-000000000000}">
      <formula1>"1ra quincena,2da quincena"</formula1>
      <formula2>0</formula2>
    </dataValidation>
    <dataValidation type="list" allowBlank="1" sqref="C6" xr:uid="{00000000-0002-0000-0100-000001000000}">
      <formula1>ListaProyectos</formula1>
      <formula2>0</formula2>
    </dataValidation>
    <dataValidation type="list" allowBlank="1" sqref="C7" xr:uid="{00000000-0002-0000-0100-000002000000}">
      <formula1>ListaEmpleados</formula1>
      <formula2>0</formula2>
    </dataValidation>
    <dataValidation type="list" allowBlank="1" sqref="C8" xr:uid="{00000000-0002-0000-0100-000003000000}">
      <formula1>ListaPuestos</formula1>
      <formula2>0</formula2>
    </dataValidation>
    <dataValidation type="list" allowBlank="1" sqref="C9" xr:uid="{00000000-0002-0000-0100-000004000000}">
      <formula1>ListaConceptos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Cargar">
              <controlPr defaultSize="0" autoPict="0" macro="CargarGasto">
                <anchor moveWithCells="1" siz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57150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54"/>
  <sheetViews>
    <sheetView showGridLines="0" zoomScaleNormal="100" workbookViewId="0">
      <selection sqref="A1:D1"/>
    </sheetView>
  </sheetViews>
  <sheetFormatPr baseColWidth="10" defaultColWidth="8.54296875" defaultRowHeight="14.5" x14ac:dyDescent="0.35"/>
  <cols>
    <col min="1" max="1" width="22" customWidth="1"/>
    <col min="2" max="5" width="18" customWidth="1"/>
  </cols>
  <sheetData>
    <row r="1" spans="1:5" ht="21" x14ac:dyDescent="0.35">
      <c r="A1" s="21" t="s">
        <v>22</v>
      </c>
      <c r="B1" s="21"/>
      <c r="C1" s="21"/>
      <c r="D1" s="21"/>
      <c r="E1" s="21"/>
    </row>
    <row r="3" spans="1:5" x14ac:dyDescent="0.35">
      <c r="A3" s="7" t="s">
        <v>13</v>
      </c>
      <c r="B3" s="7" t="s">
        <v>23</v>
      </c>
      <c r="C3" s="7" t="s">
        <v>24</v>
      </c>
      <c r="D3" s="7" t="inlineStr">
        <is>
          <t>Pagos fijos (pagados)</t>
        </is>
      </c>
      <c r="E3" s="7" t="s">
        <v>25</v>
      </c>
    </row>
    <row r="4" spans="1:5" x14ac:dyDescent="0.35">
      <c r="A4" s="8" t="str">
        <f>Catalogos!$A$4</f>
      </c>
      <c r="B4" s="9">
        <f>IF(Catalogos!$A$4="","",SUMIFS(_Movimientos!$J:$J,_Movimientos!$C:$C,Catalogos!$A$4))</f>
      </c>
      <c r="C4" s="9">
        <f>IF(Catalogos!$A$4="","",B4*FactorCargaSocial)</f>
      </c>
      <c r="D4" s="9">
        <f>IF(Catalogos!$A$4="","",SUMIFS(PagosMonto,PagosProyecto,Catalogos!$A$4,PagosEstatus,"Pagado"))</f>
      </c>
      <c r="E4" s="10">
        <f>IF(Catalogos!$A$4="","",B4+C4+D4)</f>
      </c>
    </row>
    <row r="5" spans="1:5" x14ac:dyDescent="0.35">
      <c r="A5" s="8" t="str">
        <f>Catalogos!$A$5</f>
      </c>
      <c r="B5" s="9">
        <f>IF(Catalogos!$A$5="","",SUMIFS(_Movimientos!$J:$J,_Movimientos!$C:$C,Catalogos!$A$5))</f>
      </c>
      <c r="C5" s="9">
        <f>IF(Catalogos!$A$5="","",B5*FactorCargaSocial)</f>
      </c>
      <c r="D5" s="9">
        <f>IF(Catalogos!$A$5="","",SUMIFS(PagosMonto,PagosProyecto,Catalogos!$A$5,PagosEstatus,"Pagado"))</f>
      </c>
      <c r="E5" s="10">
        <f>IF(Catalogos!$A$5="","",B5+C5+D5)</f>
      </c>
    </row>
    <row r="6" spans="1:5" x14ac:dyDescent="0.35">
      <c r="A6" s="8" t="str">
        <f>Catalogos!$A$6</f>
      </c>
      <c r="B6" s="9">
        <f>IF(Catalogos!$A$6="","",SUMIFS(_Movimientos!$J:$J,_Movimientos!$C:$C,Catalogos!$A$6))</f>
      </c>
      <c r="C6" s="9">
        <f>IF(Catalogos!$A$6="","",B6*FactorCargaSocial)</f>
      </c>
      <c r="D6" s="9">
        <f>IF(Catalogos!$A$6="","",SUMIFS(PagosMonto,PagosProyecto,Catalogos!$A$6,PagosEstatus,"Pagado"))</f>
      </c>
      <c r="E6" s="10">
        <f>IF(Catalogos!$A$6="","",B6+C6+D6)</f>
      </c>
    </row>
    <row r="7" spans="1:5" x14ac:dyDescent="0.35">
      <c r="A7" s="8" t="str">
        <f>Catalogos!$A$7</f>
      </c>
      <c r="B7" s="9">
        <f>IF(Catalogos!$A$7="","",SUMIFS(_Movimientos!$J:$J,_Movimientos!$C:$C,Catalogos!$A$7))</f>
      </c>
      <c r="C7" s="9">
        <f>IF(Catalogos!$A$7="","",B7*FactorCargaSocial)</f>
      </c>
      <c r="D7" s="9">
        <f>IF(Catalogos!$A$7="","",SUMIFS(PagosMonto,PagosProyecto,Catalogos!$A$7,PagosEstatus,"Pagado"))</f>
      </c>
      <c r="E7" s="10">
        <f>IF(Catalogos!$A$7="","",B7+C7+D7)</f>
      </c>
    </row>
    <row r="8" spans="1:5" x14ac:dyDescent="0.35">
      <c r="A8" s="8" t="str">
        <f>Catalogos!$A$8</f>
      </c>
      <c r="B8" s="9">
        <f>IF(Catalogos!$A$8="","",SUMIFS(_Movimientos!$J:$J,_Movimientos!$C:$C,Catalogos!$A$8))</f>
      </c>
      <c r="C8" s="9">
        <f>IF(Catalogos!$A$8="","",B8*FactorCargaSocial)</f>
      </c>
      <c r="D8" s="9">
        <f>IF(Catalogos!$A$8="","",SUMIFS(PagosMonto,PagosProyecto,Catalogos!$A$8,PagosEstatus,"Pagado"))</f>
      </c>
      <c r="E8" s="10">
        <f>IF(Catalogos!$A$8="","",B8+C8+D8)</f>
      </c>
    </row>
    <row r="9" spans="1:5" x14ac:dyDescent="0.35">
      <c r="A9" s="8" t="str">
        <f>Catalogos!$A$9</f>
      </c>
      <c r="B9" s="9">
        <f>IF(Catalogos!$A$9="","",SUMIFS(_Movimientos!$J:$J,_Movimientos!$C:$C,Catalogos!$A$9))</f>
      </c>
      <c r="C9" s="9">
        <f>IF(Catalogos!$A$9="","",B9*FactorCargaSocial)</f>
      </c>
      <c r="D9" s="9">
        <f>IF(Catalogos!$A$9="","",SUMIFS(PagosMonto,PagosProyecto,Catalogos!$A$9,PagosEstatus,"Pagado"))</f>
      </c>
      <c r="E9" s="10">
        <f>IF(Catalogos!$A$9="","",B9+C9+D9)</f>
      </c>
    </row>
    <row r="10" spans="1:5" x14ac:dyDescent="0.35">
      <c r="A10" s="8" t="str">
        <f>Catalogos!$A$10</f>
      </c>
      <c r="B10" s="9">
        <f>IF(Catalogos!$A$10="","",SUMIFS(_Movimientos!$J:$J,_Movimientos!$C:$C,Catalogos!$A$10))</f>
      </c>
      <c r="C10" s="9">
        <f>IF(Catalogos!$A$10="","",B10*FactorCargaSocial)</f>
      </c>
      <c r="D10" s="9">
        <f>IF(Catalogos!$A$10="","",SUMIFS(PagosMonto,PagosProyecto,Catalogos!$A$10,PagosEstatus,"Pagado"))</f>
      </c>
      <c r="E10" s="10">
        <f>IF(Catalogos!$A$10="","",B10+C10+D10)</f>
      </c>
    </row>
    <row r="11" spans="1:5" x14ac:dyDescent="0.35">
      <c r="A11" s="8" t="str">
        <f>Catalogos!$A$11</f>
      </c>
      <c r="B11" s="9">
        <f>IF(Catalogos!$A$11="","",SUMIFS(_Movimientos!$J:$J,_Movimientos!$C:$C,Catalogos!$A$11))</f>
      </c>
      <c r="C11" s="9">
        <f>IF(Catalogos!$A$11="","",B11*FactorCargaSocial)</f>
      </c>
      <c r="D11" s="9">
        <f>IF(Catalogos!$A$11="","",SUMIFS(PagosMonto,PagosProyecto,Catalogos!$A$11,PagosEstatus,"Pagado"))</f>
      </c>
      <c r="E11" s="10">
        <f>IF(Catalogos!$A$11="","",B11+C11+D11)</f>
      </c>
    </row>
    <row r="12" spans="1:5" x14ac:dyDescent="0.35">
      <c r="A12" s="8" t="str">
        <f>Catalogos!$A$12</f>
      </c>
      <c r="B12" s="9">
        <f>IF(Catalogos!$A$12="","",SUMIFS(_Movimientos!$J:$J,_Movimientos!$C:$C,Catalogos!$A$12))</f>
      </c>
      <c r="C12" s="9">
        <f>IF(Catalogos!$A$12="","",B12*FactorCargaSocial)</f>
      </c>
      <c r="D12" s="9">
        <f>IF(Catalogos!$A$12="","",SUMIFS(PagosMonto,PagosProyecto,Catalogos!$A$12,PagosEstatus,"Pagado"))</f>
      </c>
      <c r="E12" s="10">
        <f>IF(Catalogos!$A$12="","",B12+C12+D12)</f>
      </c>
    </row>
    <row r="13" spans="1:5" x14ac:dyDescent="0.35">
      <c r="A13" s="8" t="str">
        <f>Catalogos!$A$13</f>
      </c>
      <c r="B13" s="9">
        <f>IF(Catalogos!$A$13="","",SUMIFS(_Movimientos!$J:$J,_Movimientos!$C:$C,Catalogos!$A$13))</f>
      </c>
      <c r="C13" s="9">
        <f>IF(Catalogos!$A$13="","",B13*FactorCargaSocial)</f>
      </c>
      <c r="D13" s="9">
        <f>IF(Catalogos!$A$13="","",SUMIFS(PagosMonto,PagosProyecto,Catalogos!$A$13,PagosEstatus,"Pagado"))</f>
      </c>
      <c r="E13" s="10">
        <f>IF(Catalogos!$A$13="","",B13+C13+D13)</f>
      </c>
    </row>
    <row r="14" spans="1:5" x14ac:dyDescent="0.35">
      <c r="A14" s="8" t="str">
        <f>Catalogos!$A$14</f>
      </c>
      <c r="B14" s="9">
        <f>IF(Catalogos!$A$14="","",SUMIFS(_Movimientos!$J:$J,_Movimientos!$C:$C,Catalogos!$A$14))</f>
      </c>
      <c r="C14" s="9">
        <f>IF(Catalogos!$A$14="","",B14*FactorCargaSocial)</f>
      </c>
      <c r="D14" s="9">
        <f>IF(Catalogos!$A$14="","",SUMIFS(PagosMonto,PagosProyecto,Catalogos!$A$14,PagosEstatus,"Pagado"))</f>
      </c>
      <c r="E14" s="10">
        <f>IF(Catalogos!$A$14="","",B14+C14+D14)</f>
      </c>
    </row>
    <row r="15" spans="1:5" x14ac:dyDescent="0.35">
      <c r="A15" s="8" t="str">
        <f>Catalogos!$A$15</f>
      </c>
      <c r="B15" s="9">
        <f>IF(Catalogos!$A$15="","",SUMIFS(_Movimientos!$J:$J,_Movimientos!$C:$C,Catalogos!$A$15))</f>
      </c>
      <c r="C15" s="9">
        <f>IF(Catalogos!$A$15="","",B15*FactorCargaSocial)</f>
      </c>
      <c r="D15" s="9">
        <f>IF(Catalogos!$A$15="","",SUMIFS(PagosMonto,PagosProyecto,Catalogos!$A$15,PagosEstatus,"Pagado"))</f>
      </c>
      <c r="E15" s="10">
        <f>IF(Catalogos!$A$15="","",B15+C15+D15)</f>
      </c>
    </row>
    <row r="16" spans="1:5" x14ac:dyDescent="0.35">
      <c r="A16" s="8" t="str">
        <f>Catalogos!$A$16</f>
      </c>
      <c r="B16" s="9">
        <f>IF(Catalogos!$A$16="","",SUMIFS(_Movimientos!$J:$J,_Movimientos!$C:$C,Catalogos!$A$16))</f>
      </c>
      <c r="C16" s="9">
        <f>IF(Catalogos!$A$16="","",B16*FactorCargaSocial)</f>
      </c>
      <c r="D16" s="9">
        <f>IF(Catalogos!$A$16="","",SUMIFS(PagosMonto,PagosProyecto,Catalogos!$A$16,PagosEstatus,"Pagado"))</f>
      </c>
      <c r="E16" s="10">
        <f>IF(Catalogos!$A$16="","",B16+C16+D16)</f>
      </c>
    </row>
    <row r="17" spans="1:5" x14ac:dyDescent="0.35">
      <c r="A17" s="8" t="str">
        <f>Catalogos!$A$17</f>
      </c>
      <c r="B17" s="9">
        <f>IF(Catalogos!$A$17="","",SUMIFS(_Movimientos!$J:$J,_Movimientos!$C:$C,Catalogos!$A$17))</f>
      </c>
      <c r="C17" s="9">
        <f>IF(Catalogos!$A$17="","",B17*FactorCargaSocial)</f>
      </c>
      <c r="D17" s="9">
        <f>IF(Catalogos!$A$17="","",SUMIFS(PagosMonto,PagosProyecto,Catalogos!$A$17,PagosEstatus,"Pagado"))</f>
      </c>
      <c r="E17" s="10">
        <f>IF(Catalogos!$A$17="","",B17+C17+D17)</f>
      </c>
    </row>
    <row r="18" spans="1:5" x14ac:dyDescent="0.35">
      <c r="A18" s="8" t="str">
        <f>Catalogos!$A$18</f>
      </c>
      <c r="B18" s="9">
        <f>IF(Catalogos!$A$18="","",SUMIFS(_Movimientos!$J:$J,_Movimientos!$C:$C,Catalogos!$A$18))</f>
      </c>
      <c r="C18" s="9">
        <f>IF(Catalogos!$A$18="","",B18*FactorCargaSocial)</f>
      </c>
      <c r="D18" s="9">
        <f>IF(Catalogos!$A$18="","",SUMIFS(PagosMonto,PagosProyecto,Catalogos!$A$18,PagosEstatus,"Pagado"))</f>
      </c>
      <c r="E18" s="10">
        <f>IF(Catalogos!$A$18="","",B18+C18+D18)</f>
      </c>
    </row>
    <row r="19" spans="1:5" x14ac:dyDescent="0.35">
      <c r="A19" s="8" t="str">
        <f>Catalogos!$A$19</f>
      </c>
      <c r="B19" s="9">
        <f>IF(Catalogos!$A$19="","",SUMIFS(_Movimientos!$J:$J,_Movimientos!$C:$C,Catalogos!$A$19))</f>
      </c>
      <c r="C19" s="9">
        <f>IF(Catalogos!$A$19="","",B19*FactorCargaSocial)</f>
      </c>
      <c r="D19" s="9">
        <f>IF(Catalogos!$A$19="","",SUMIFS(PagosMonto,PagosProyecto,Catalogos!$A$19,PagosEstatus,"Pagado"))</f>
      </c>
      <c r="E19" s="10">
        <f>IF(Catalogos!$A$19="","",B19+C19+D19)</f>
      </c>
    </row>
    <row r="20" spans="1:5" x14ac:dyDescent="0.35">
      <c r="A20" s="8" t="str">
        <f>Catalogos!$A$20</f>
      </c>
      <c r="B20" s="9">
        <f>IF(Catalogos!$A$20="","",SUMIFS(_Movimientos!$J:$J,_Movimientos!$C:$C,Catalogos!$A$20))</f>
      </c>
      <c r="C20" s="9">
        <f>IF(Catalogos!$A$20="","",B20*FactorCargaSocial)</f>
      </c>
      <c r="D20" s="9">
        <f>IF(Catalogos!$A$20="","",SUMIFS(PagosMonto,PagosProyecto,Catalogos!$A$20,PagosEstatus,"Pagado"))</f>
      </c>
      <c r="E20" s="10">
        <f>IF(Catalogos!$A$20="","",B20+C20+D20)</f>
      </c>
    </row>
    <row r="21" spans="1:5" x14ac:dyDescent="0.35">
      <c r="A21" s="8" t="str">
        <f>Catalogos!$A$21</f>
      </c>
      <c r="B21" s="9">
        <f>IF(Catalogos!$A$21="","",SUMIFS(_Movimientos!$J:$J,_Movimientos!$C:$C,Catalogos!$A$21))</f>
      </c>
      <c r="C21" s="9">
        <f>IF(Catalogos!$A$21="","",B21*FactorCargaSocial)</f>
      </c>
      <c r="D21" s="9">
        <f>IF(Catalogos!$A$21="","",SUMIFS(PagosMonto,PagosProyecto,Catalogos!$A$21,PagosEstatus,"Pagado"))</f>
      </c>
      <c r="E21" s="10">
        <f>IF(Catalogos!$A$21="","",B21+C21+D21)</f>
      </c>
    </row>
    <row r="22" spans="1:5" x14ac:dyDescent="0.35">
      <c r="A22" s="8" t="str">
        <f>Catalogos!$A$22</f>
      </c>
      <c r="B22" s="9">
        <f>IF(Catalogos!$A$22="","",SUMIFS(_Movimientos!$J:$J,_Movimientos!$C:$C,Catalogos!$A$22))</f>
      </c>
      <c r="C22" s="9">
        <f>IF(Catalogos!$A$22="","",B22*FactorCargaSocial)</f>
      </c>
      <c r="D22" s="9">
        <f>IF(Catalogos!$A$22="","",SUMIFS(PagosMonto,PagosProyecto,Catalogos!$A$22,PagosEstatus,"Pagado"))</f>
      </c>
      <c r="E22" s="10">
        <f>IF(Catalogos!$A$22="","",B22+C22+D22)</f>
      </c>
    </row>
    <row r="23" spans="1:5" x14ac:dyDescent="0.35">
      <c r="A23" s="8" t="str">
        <f>Catalogos!$A$23</f>
      </c>
      <c r="B23" s="9">
        <f>IF(Catalogos!$A$23="","",SUMIFS(_Movimientos!$J:$J,_Movimientos!$C:$C,Catalogos!$A$23))</f>
      </c>
      <c r="C23" s="9">
        <f>IF(Catalogos!$A$23="","",B23*FactorCargaSocial)</f>
      </c>
      <c r="D23" s="9">
        <f>IF(Catalogos!$A$23="","",SUMIFS(PagosMonto,PagosProyecto,Catalogos!$A$23,PagosEstatus,"Pagado"))</f>
      </c>
      <c r="E23" s="10">
        <f>IF(Catalogos!$A$23="","",B23+C23+D23)</f>
      </c>
    </row>
    <row r="24" spans="1:5" x14ac:dyDescent="0.35">
      <c r="A24" s="8" t="str">
        <f>Catalogos!$A$24</f>
      </c>
      <c r="B24" s="9">
        <f>IF(Catalogos!$A$24="","",SUMIFS(_Movimientos!$J:$J,_Movimientos!$C:$C,Catalogos!$A$24))</f>
      </c>
      <c r="C24" s="9">
        <f>IF(Catalogos!$A$24="","",B24*FactorCargaSocial)</f>
      </c>
      <c r="D24" s="9">
        <f>IF(Catalogos!$A$24="","",SUMIFS(PagosMonto,PagosProyecto,Catalogos!$A$24,PagosEstatus,"Pagado"))</f>
      </c>
      <c r="E24" s="10">
        <f>IF(Catalogos!$A$24="","",B24+C24+D24)</f>
      </c>
    </row>
    <row r="25" spans="1:5" x14ac:dyDescent="0.35">
      <c r="A25" s="8" t="str">
        <f>Catalogos!$A$25</f>
      </c>
      <c r="B25" s="9">
        <f>IF(Catalogos!$A$25="","",SUMIFS(_Movimientos!$J:$J,_Movimientos!$C:$C,Catalogos!$A$25))</f>
      </c>
      <c r="C25" s="9">
        <f>IF(Catalogos!$A$25="","",B25*FactorCargaSocial)</f>
      </c>
      <c r="D25" s="9">
        <f>IF(Catalogos!$A$25="","",SUMIFS(PagosMonto,PagosProyecto,Catalogos!$A$25,PagosEstatus,"Pagado"))</f>
      </c>
      <c r="E25" s="10">
        <f>IF(Catalogos!$A$25="","",B25+C25+D25)</f>
      </c>
    </row>
    <row r="26" spans="1:5" x14ac:dyDescent="0.35">
      <c r="A26" s="8" t="str">
        <f>Catalogos!$A$26</f>
      </c>
      <c r="B26" s="9">
        <f>IF(Catalogos!$A$26="","",SUMIFS(_Movimientos!$J:$J,_Movimientos!$C:$C,Catalogos!$A$26))</f>
      </c>
      <c r="C26" s="9">
        <f>IF(Catalogos!$A$26="","",B26*FactorCargaSocial)</f>
      </c>
      <c r="D26" s="9">
        <f>IF(Catalogos!$A$26="","",SUMIFS(PagosMonto,PagosProyecto,Catalogos!$A$26,PagosEstatus,"Pagado"))</f>
      </c>
      <c r="E26" s="10">
        <f>IF(Catalogos!$A$26="","",B26+C26+D26)</f>
      </c>
    </row>
    <row r="27" spans="1:5" x14ac:dyDescent="0.35">
      <c r="A27" s="8" t="str">
        <f>Catalogos!$A$27</f>
      </c>
      <c r="B27" s="9">
        <f>IF(Catalogos!$A$27="","",SUMIFS(_Movimientos!$J:$J,_Movimientos!$C:$C,Catalogos!$A$27))</f>
      </c>
      <c r="C27" s="9">
        <f>IF(Catalogos!$A$27="","",B27*FactorCargaSocial)</f>
      </c>
      <c r="D27" s="9">
        <f>IF(Catalogos!$A$27="","",SUMIFS(PagosMonto,PagosProyecto,Catalogos!$A$27,PagosEstatus,"Pagado"))</f>
      </c>
      <c r="E27" s="10">
        <f>IF(Catalogos!$A$27="","",B27+C27+D27)</f>
      </c>
    </row>
    <row r="28" spans="1:5" x14ac:dyDescent="0.35">
      <c r="A28" s="8" t="str">
        <f>Catalogos!$A$28</f>
      </c>
      <c r="B28" s="9">
        <f>IF(Catalogos!$A$28="","",SUMIFS(_Movimientos!$J:$J,_Movimientos!$C:$C,Catalogos!$A$28))</f>
      </c>
      <c r="C28" s="9">
        <f>IF(Catalogos!$A$28="","",B28*FactorCargaSocial)</f>
      </c>
      <c r="D28" s="9">
        <f>IF(Catalogos!$A$28="","",SUMIFS(PagosMonto,PagosProyecto,Catalogos!$A$28,PagosEstatus,"Pagado"))</f>
      </c>
      <c r="E28" s="10">
        <f>IF(Catalogos!$A$28="","",B28+C28+D28)</f>
      </c>
    </row>
    <row r="29" spans="1:5" x14ac:dyDescent="0.35">
      <c r="A29" s="8" t="str">
        <f>Catalogos!$A$29</f>
      </c>
      <c r="B29" s="9">
        <f>IF(Catalogos!$A$29="","",SUMIFS(_Movimientos!$J:$J,_Movimientos!$C:$C,Catalogos!$A$29))</f>
      </c>
      <c r="C29" s="9">
        <f>IF(Catalogos!$A$29="","",B29*FactorCargaSocial)</f>
      </c>
      <c r="D29" s="9">
        <f>IF(Catalogos!$A$29="","",SUMIFS(PagosMonto,PagosProyecto,Catalogos!$A$29,PagosEstatus,"Pagado"))</f>
      </c>
      <c r="E29" s="10">
        <f>IF(Catalogos!$A$29="","",B29+C29+D29)</f>
      </c>
    </row>
    <row r="30" spans="1:5" x14ac:dyDescent="0.35">
      <c r="A30" s="8" t="str">
        <f>Catalogos!$A$30</f>
      </c>
      <c r="B30" s="9">
        <f>IF(Catalogos!$A$30="","",SUMIFS(_Movimientos!$J:$J,_Movimientos!$C:$C,Catalogos!$A$30))</f>
      </c>
      <c r="C30" s="9">
        <f>IF(Catalogos!$A$30="","",B30*FactorCargaSocial)</f>
      </c>
      <c r="D30" s="9">
        <f>IF(Catalogos!$A$30="","",SUMIFS(PagosMonto,PagosProyecto,Catalogos!$A$30,PagosEstatus,"Pagado"))</f>
      </c>
      <c r="E30" s="10">
        <f>IF(Catalogos!$A$30="","",B30+C30+D30)</f>
      </c>
    </row>
    <row r="31" spans="1:5" x14ac:dyDescent="0.35">
      <c r="A31" s="8" t="str">
        <f>Catalogos!$A$31</f>
      </c>
      <c r="B31" s="9">
        <f>IF(Catalogos!$A$31="","",SUMIFS(_Movimientos!$J:$J,_Movimientos!$C:$C,Catalogos!$A$31))</f>
      </c>
      <c r="C31" s="9">
        <f>IF(Catalogos!$A$31="","",B31*FactorCargaSocial)</f>
      </c>
      <c r="D31" s="9">
        <f>IF(Catalogos!$A$31="","",SUMIFS(PagosMonto,PagosProyecto,Catalogos!$A$31,PagosEstatus,"Pagado"))</f>
      </c>
      <c r="E31" s="10">
        <f>IF(Catalogos!$A$31="","",B31+C31+D31)</f>
      </c>
    </row>
    <row r="32" spans="1:5" x14ac:dyDescent="0.35">
      <c r="A32" s="8" t="str">
        <f>Catalogos!$A$32</f>
      </c>
      <c r="B32" s="9">
        <f>IF(Catalogos!$A$32="","",SUMIFS(_Movimientos!$J:$J,_Movimientos!$C:$C,Catalogos!$A$32))</f>
      </c>
      <c r="C32" s="9">
        <f>IF(Catalogos!$A$32="","",B32*FactorCargaSocial)</f>
      </c>
      <c r="D32" s="9">
        <f>IF(Catalogos!$A$32="","",SUMIFS(PagosMonto,PagosProyecto,Catalogos!$A$32,PagosEstatus,"Pagado"))</f>
      </c>
      <c r="E32" s="10">
        <f>IF(Catalogos!$A$32="","",B32+C32+D32)</f>
      </c>
    </row>
    <row r="33" spans="1:5" x14ac:dyDescent="0.35">
      <c r="A33" s="8" t="str">
        <f>Catalogos!$A$33</f>
      </c>
      <c r="B33" s="9">
        <f>IF(Catalogos!$A$33="","",SUMIFS(_Movimientos!$J:$J,_Movimientos!$C:$C,Catalogos!$A$33))</f>
      </c>
      <c r="C33" s="9">
        <f>IF(Catalogos!$A$33="","",B33*FactorCargaSocial)</f>
      </c>
      <c r="D33" s="9">
        <f>IF(Catalogos!$A$33="","",SUMIFS(PagosMonto,PagosProyecto,Catalogos!$A$33,PagosEstatus,"Pagado"))</f>
      </c>
      <c r="E33" s="10">
        <f>IF(Catalogos!$A$33="","",B33+C33+D33)</f>
      </c>
    </row>
    <row r="34" spans="1:5" x14ac:dyDescent="0.35">
      <c r="A34" s="8" t="str">
        <f>Catalogos!$A$34</f>
      </c>
      <c r="B34" s="9">
        <f>IF(Catalogos!$A$34="","",SUMIFS(_Movimientos!$J:$J,_Movimientos!$C:$C,Catalogos!$A$34))</f>
      </c>
      <c r="C34" s="9">
        <f>IF(Catalogos!$A$34="","",B34*FactorCargaSocial)</f>
      </c>
      <c r="D34" s="9">
        <f>IF(Catalogos!$A$34="","",SUMIFS(PagosMonto,PagosProyecto,Catalogos!$A$34,PagosEstatus,"Pagado"))</f>
      </c>
      <c r="E34" s="10">
        <f>IF(Catalogos!$A$34="","",B34+C34+D34)</f>
      </c>
    </row>
    <row r="35" spans="1:5" x14ac:dyDescent="0.35">
      <c r="A35" s="8" t="str">
        <f>Catalogos!$A$35</f>
      </c>
      <c r="B35" s="9">
        <f>IF(Catalogos!$A$35="","",SUMIFS(_Movimientos!$J:$J,_Movimientos!$C:$C,Catalogos!$A$35))</f>
      </c>
      <c r="C35" s="9">
        <f>IF(Catalogos!$A$35="","",B35*FactorCargaSocial)</f>
      </c>
      <c r="D35" s="9">
        <f>IF(Catalogos!$A$35="","",SUMIFS(PagosMonto,PagosProyecto,Catalogos!$A$35,PagosEstatus,"Pagado"))</f>
      </c>
      <c r="E35" s="10">
        <f>IF(Catalogos!$A$35="","",B35+C35+D35)</f>
      </c>
    </row>
    <row r="36" spans="1:5" x14ac:dyDescent="0.35">
      <c r="A36" s="8" t="str">
        <f>Catalogos!$A$36</f>
      </c>
      <c r="B36" s="9">
        <f>IF(Catalogos!$A$36="","",SUMIFS(_Movimientos!$J:$J,_Movimientos!$C:$C,Catalogos!$A$36))</f>
      </c>
      <c r="C36" s="9">
        <f>IF(Catalogos!$A$36="","",B36*FactorCargaSocial)</f>
      </c>
      <c r="D36" s="9">
        <f>IF(Catalogos!$A$36="","",SUMIFS(PagosMonto,PagosProyecto,Catalogos!$A$36,PagosEstatus,"Pagado"))</f>
      </c>
      <c r="E36" s="10">
        <f>IF(Catalogos!$A$36="","",B36+C36+D36)</f>
      </c>
    </row>
    <row r="37" spans="1:5" x14ac:dyDescent="0.35">
      <c r="A37" s="8" t="str">
        <f>Catalogos!$A$37</f>
      </c>
      <c r="B37" s="9">
        <f>IF(Catalogos!$A$37="","",SUMIFS(_Movimientos!$J:$J,_Movimientos!$C:$C,Catalogos!$A$37))</f>
      </c>
      <c r="C37" s="9">
        <f>IF(Catalogos!$A$37="","",B37*FactorCargaSocial)</f>
      </c>
      <c r="D37" s="9">
        <f>IF(Catalogos!$A$37="","",SUMIFS(PagosMonto,PagosProyecto,Catalogos!$A$37,PagosEstatus,"Pagado"))</f>
      </c>
      <c r="E37" s="10">
        <f>IF(Catalogos!$A$37="","",B37+C37+D37)</f>
      </c>
    </row>
    <row r="38" spans="1:5" x14ac:dyDescent="0.35">
      <c r="A38" s="8" t="str">
        <f>Catalogos!$A$38</f>
      </c>
      <c r="B38" s="9">
        <f>IF(Catalogos!$A$38="","",SUMIFS(_Movimientos!$J:$J,_Movimientos!$C:$C,Catalogos!$A$38))</f>
      </c>
      <c r="C38" s="9">
        <f>IF(Catalogos!$A$38="","",B38*FactorCargaSocial)</f>
      </c>
      <c r="D38" s="9">
        <f>IF(Catalogos!$A$38="","",SUMIFS(PagosMonto,PagosProyecto,Catalogos!$A$38,PagosEstatus,"Pagado"))</f>
      </c>
      <c r="E38" s="10">
        <f>IF(Catalogos!$A$38="","",B38+C38+D38)</f>
      </c>
    </row>
    <row r="39" spans="1:5" x14ac:dyDescent="0.35">
      <c r="A39" s="8" t="str">
        <f>Catalogos!$A$39</f>
      </c>
      <c r="B39" s="9">
        <f>IF(Catalogos!$A$39="","",SUMIFS(_Movimientos!$J:$J,_Movimientos!$C:$C,Catalogos!$A$39))</f>
      </c>
      <c r="C39" s="9">
        <f>IF(Catalogos!$A$39="","",B39*FactorCargaSocial)</f>
      </c>
      <c r="D39" s="9">
        <f>IF(Catalogos!$A$39="","",SUMIFS(PagosMonto,PagosProyecto,Catalogos!$A$39,PagosEstatus,"Pagado"))</f>
      </c>
      <c r="E39" s="10">
        <f>IF(Catalogos!$A$39="","",B39+C39+D39)</f>
      </c>
    </row>
    <row r="40" spans="1:5" x14ac:dyDescent="0.35">
      <c r="A40" s="8" t="str">
        <f>Catalogos!$A$40</f>
      </c>
      <c r="B40" s="9">
        <f>IF(Catalogos!$A$40="","",SUMIFS(_Movimientos!$J:$J,_Movimientos!$C:$C,Catalogos!$A$40))</f>
      </c>
      <c r="C40" s="9">
        <f>IF(Catalogos!$A$40="","",B40*FactorCargaSocial)</f>
      </c>
      <c r="D40" s="9">
        <f>IF(Catalogos!$A$40="","",SUMIFS(PagosMonto,PagosProyecto,Catalogos!$A$40,PagosEstatus,"Pagado"))</f>
      </c>
      <c r="E40" s="10">
        <f>IF(Catalogos!$A$40="","",B40+C40+D40)</f>
      </c>
    </row>
    <row r="41" spans="1:5" x14ac:dyDescent="0.35">
      <c r="A41" s="8" t="str">
        <f>Catalogos!$A$41</f>
      </c>
      <c r="B41" s="9">
        <f>IF(Catalogos!$A$41="","",SUMIFS(_Movimientos!$J:$J,_Movimientos!$C:$C,Catalogos!$A$41))</f>
      </c>
      <c r="C41" s="9">
        <f>IF(Catalogos!$A$41="","",B41*FactorCargaSocial)</f>
      </c>
      <c r="D41" s="9">
        <f>IF(Catalogos!$A$41="","",SUMIFS(PagosMonto,PagosProyecto,Catalogos!$A$41,PagosEstatus,"Pagado"))</f>
      </c>
      <c r="E41" s="10">
        <f>IF(Catalogos!$A$41="","",B41+C41+D41)</f>
      </c>
    </row>
    <row r="42" spans="1:5" x14ac:dyDescent="0.35">
      <c r="A42" s="8" t="str">
        <f>Catalogos!$A$42</f>
      </c>
      <c r="B42" s="9">
        <f>IF(Catalogos!$A$42="","",SUMIFS(_Movimientos!$J:$J,_Movimientos!$C:$C,Catalogos!$A$42))</f>
      </c>
      <c r="C42" s="9">
        <f>IF(Catalogos!$A$42="","",B42*FactorCargaSocial)</f>
      </c>
      <c r="D42" s="9">
        <f>IF(Catalogos!$A$42="","",SUMIFS(PagosMonto,PagosProyecto,Catalogos!$A$42,PagosEstatus,"Pagado"))</f>
      </c>
      <c r="E42" s="10">
        <f>IF(Catalogos!$A$42="","",B42+C42+D42)</f>
      </c>
    </row>
    <row r="43" spans="1:5" x14ac:dyDescent="0.35">
      <c r="A43" s="8" t="str">
        <f>Catalogos!$A$43</f>
      </c>
      <c r="B43" s="9">
        <f>IF(Catalogos!$A$43="","",SUMIFS(_Movimientos!$J:$J,_Movimientos!$C:$C,Catalogos!$A$43))</f>
      </c>
      <c r="C43" s="9">
        <f>IF(Catalogos!$A$43="","",B43*FactorCargaSocial)</f>
      </c>
      <c r="D43" s="9">
        <f>IF(Catalogos!$A$43="","",SUMIFS(PagosMonto,PagosProyecto,Catalogos!$A$43,PagosEstatus,"Pagado"))</f>
      </c>
      <c r="E43" s="10">
        <f>IF(Catalogos!$A$43="","",B43+C43+D43)</f>
      </c>
    </row>
    <row r="44" spans="1:5" x14ac:dyDescent="0.35">
      <c r="A44" s="8" t="str">
        <f>Catalogos!$A$44</f>
      </c>
      <c r="B44" s="9">
        <f>IF(Catalogos!$A$44="","",SUMIFS(_Movimientos!$J:$J,_Movimientos!$C:$C,Catalogos!$A$44))</f>
      </c>
      <c r="C44" s="9">
        <f>IF(Catalogos!$A$44="","",B44*FactorCargaSocial)</f>
      </c>
      <c r="D44" s="9">
        <f>IF(Catalogos!$A$44="","",SUMIFS(PagosMonto,PagosProyecto,Catalogos!$A$44,PagosEstatus,"Pagado"))</f>
      </c>
      <c r="E44" s="10">
        <f>IF(Catalogos!$A$44="","",B44+C44+D44)</f>
      </c>
    </row>
    <row r="45" spans="1:5" x14ac:dyDescent="0.35">
      <c r="A45" s="8" t="str">
        <f>Catalogos!$A$45</f>
      </c>
      <c r="B45" s="9">
        <f>IF(Catalogos!$A$45="","",SUMIFS(_Movimientos!$J:$J,_Movimientos!$C:$C,Catalogos!$A$45))</f>
      </c>
      <c r="C45" s="9">
        <f>IF(Catalogos!$A$45="","",B45*FactorCargaSocial)</f>
      </c>
      <c r="D45" s="9">
        <f>IF(Catalogos!$A$45="","",SUMIFS(PagosMonto,PagosProyecto,Catalogos!$A$45,PagosEstatus,"Pagado"))</f>
      </c>
      <c r="E45" s="10">
        <f>IF(Catalogos!$A$45="","",B45+C45+D45)</f>
      </c>
    </row>
    <row r="46" spans="1:5" x14ac:dyDescent="0.35">
      <c r="A46" s="8" t="str">
        <f>Catalogos!$A$46</f>
      </c>
      <c r="B46" s="9">
        <f>IF(Catalogos!$A$46="","",SUMIFS(_Movimientos!$J:$J,_Movimientos!$C:$C,Catalogos!$A$46))</f>
      </c>
      <c r="C46" s="9">
        <f>IF(Catalogos!$A$46="","",B46*FactorCargaSocial)</f>
      </c>
      <c r="D46" s="9">
        <f>IF(Catalogos!$A$46="","",SUMIFS(PagosMonto,PagosProyecto,Catalogos!$A$46,PagosEstatus,"Pagado"))</f>
      </c>
      <c r="E46" s="10">
        <f>IF(Catalogos!$A$46="","",B46+C46+D46)</f>
      </c>
    </row>
    <row r="47" spans="1:5" x14ac:dyDescent="0.35">
      <c r="A47" s="8" t="str">
        <f>Catalogos!$A$47</f>
      </c>
      <c r="B47" s="9">
        <f>IF(Catalogos!$A$47="","",SUMIFS(_Movimientos!$J:$J,_Movimientos!$C:$C,Catalogos!$A$47))</f>
      </c>
      <c r="C47" s="9">
        <f>IF(Catalogos!$A$47="","",B47*FactorCargaSocial)</f>
      </c>
      <c r="D47" s="9">
        <f>IF(Catalogos!$A$47="","",SUMIFS(PagosMonto,PagosProyecto,Catalogos!$A$47,PagosEstatus,"Pagado"))</f>
      </c>
      <c r="E47" s="10">
        <f>IF(Catalogos!$A$47="","",B47+C47+D47)</f>
      </c>
    </row>
    <row r="48" spans="1:5" x14ac:dyDescent="0.35">
      <c r="A48" s="8" t="str">
        <f>Catalogos!$A$48</f>
      </c>
      <c r="B48" s="9">
        <f>IF(Catalogos!$A$48="","",SUMIFS(_Movimientos!$J:$J,_Movimientos!$C:$C,Catalogos!$A$48))</f>
      </c>
      <c r="C48" s="9">
        <f>IF(Catalogos!$A$48="","",B48*FactorCargaSocial)</f>
      </c>
      <c r="D48" s="9">
        <f>IF(Catalogos!$A$48="","",SUMIFS(PagosMonto,PagosProyecto,Catalogos!$A$48,PagosEstatus,"Pagado"))</f>
      </c>
      <c r="E48" s="10">
        <f>IF(Catalogos!$A$48="","",B48+C48+D48)</f>
      </c>
    </row>
    <row r="49" spans="1:5" x14ac:dyDescent="0.35">
      <c r="A49" s="8" t="str">
        <f>Catalogos!$A$49</f>
      </c>
      <c r="B49" s="9">
        <f>IF(Catalogos!$A$49="","",SUMIFS(_Movimientos!$J:$J,_Movimientos!$C:$C,Catalogos!$A$49))</f>
      </c>
      <c r="C49" s="9">
        <f>IF(Catalogos!$A$49="","",B49*FactorCargaSocial)</f>
      </c>
      <c r="D49" s="9">
        <f>IF(Catalogos!$A$49="","",SUMIFS(PagosMonto,PagosProyecto,Catalogos!$A$49,PagosEstatus,"Pagado"))</f>
      </c>
      <c r="E49" s="10">
        <f>IF(Catalogos!$A$49="","",B49+C49+D49)</f>
      </c>
    </row>
    <row r="50" spans="1:5" x14ac:dyDescent="0.35">
      <c r="A50" s="8" t="str">
        <f>Catalogos!$A$50</f>
      </c>
      <c r="B50" s="9">
        <f>IF(Catalogos!$A$50="","",SUMIFS(_Movimientos!$J:$J,_Movimientos!$C:$C,Catalogos!$A$50))</f>
      </c>
      <c r="C50" s="9">
        <f>IF(Catalogos!$A$50="","",B50*FactorCargaSocial)</f>
      </c>
      <c r="D50" s="9">
        <f>IF(Catalogos!$A$50="","",SUMIFS(PagosMonto,PagosProyecto,Catalogos!$A$50,PagosEstatus,"Pagado"))</f>
      </c>
      <c r="E50" s="10">
        <f>IF(Catalogos!$A$50="","",B50+C50+D50)</f>
      </c>
    </row>
    <row r="51" spans="1:5" x14ac:dyDescent="0.35">
      <c r="A51" s="8" t="str">
        <f>Catalogos!$A$51</f>
      </c>
      <c r="B51" s="9">
        <f>IF(Catalogos!$A$51="","",SUMIFS(_Movimientos!$J:$J,_Movimientos!$C:$C,Catalogos!$A$51))</f>
      </c>
      <c r="C51" s="9">
        <f>IF(Catalogos!$A$51="","",B51*FactorCargaSocial)</f>
      </c>
      <c r="D51" s="9">
        <f>IF(Catalogos!$A$51="","",SUMIFS(PagosMonto,PagosProyecto,Catalogos!$A$51,PagosEstatus,"Pagado"))</f>
      </c>
      <c r="E51" s="10">
        <f>IF(Catalogos!$A$51="","",B51+C51+D51)</f>
      </c>
    </row>
    <row r="52" spans="1:5" x14ac:dyDescent="0.35">
      <c r="A52" s="8" t="str">
        <f>Catalogos!$A$52</f>
      </c>
      <c r="B52" s="9">
        <f>IF(Catalogos!$A$52="","",SUMIFS(_Movimientos!$J:$J,_Movimientos!$C:$C,Catalogos!$A$52))</f>
      </c>
      <c r="C52" s="9">
        <f>IF(Catalogos!$A$52="","",B52*FactorCargaSocial)</f>
      </c>
      <c r="D52" s="9">
        <f>IF(Catalogos!$A$52="","",SUMIFS(PagosMonto,PagosProyecto,Catalogos!$A$52,PagosEstatus,"Pagado"))</f>
      </c>
      <c r="E52" s="10">
        <f>IF(Catalogos!$A$52="","",B52+C52+D52)</f>
      </c>
    </row>
    <row r="53" spans="1:5" x14ac:dyDescent="0.35">
      <c r="A53" s="8" t="str">
        <f>Catalogos!$A$53</f>
      </c>
      <c r="B53" s="9">
        <f>IF(Catalogos!$A$53="","",SUMIFS(_Movimientos!$J:$J,_Movimientos!$C:$C,Catalogos!$A$53))</f>
      </c>
      <c r="C53" s="9">
        <f>IF(Catalogos!$A$53="","",B53*FactorCargaSocial)</f>
      </c>
      <c r="D53" s="9">
        <f>IF(Catalogos!$A$53="","",SUMIFS(PagosMonto,PagosProyecto,Catalogos!$A$53,PagosEstatus,"Pagado"))</f>
      </c>
      <c r="E53" s="10">
        <f>IF(Catalogos!$A$53="","",B53+C53+D53)</f>
      </c>
    </row>
    <row r="54" spans="1:5" x14ac:dyDescent="0.35">
      <c r="A54" s="11" t="s">
        <v>26</v>
      </c>
      <c r="B54" s="12">
        <f>SUM(B4:B53)</f>
      </c>
      <c r="C54" s="12">
        <f>SUM(C4:C53)</f>
      </c>
      <c r="D54" s="12">
        <f>SUM(D4:D53)</f>
      </c>
      <c r="E54" s="12">
        <f>SUM(E4:E53)</f>
      </c>
    </row>
  </sheetData>
  <mergeCells count="1">
    <mergeCell ref="A1:E1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11"/>
  <sheetViews>
    <sheetView showGridLines="0" zoomScaleNormal="100" workbookViewId="0">
      <selection activeCell="C6" sqref="C6"/>
    </sheetView>
  </sheetViews>
  <sheetFormatPr baseColWidth="10" defaultColWidth="8.54296875" defaultRowHeight="14.5" x14ac:dyDescent="0.35"/>
  <cols>
    <col min="1" max="1" width="20" customWidth="1"/>
    <col min="2" max="2" width="3" customWidth="1"/>
    <col min="3" max="3" width="28" customWidth="1"/>
    <col min="4" max="4" width="3" customWidth="1"/>
    <col min="5" max="5" width="24" customWidth="1"/>
    <col min="6" max="6" width="3" customWidth="1"/>
    <col min="7" max="7" width="26" customWidth="1"/>
    <col min="8" max="8" width="3" customWidth="1"/>
    <col min="9" max="9" width="24" customWidth="1"/>
    <col min="10" max="10" width="14" customWidth="1"/>
  </cols>
  <sheetData>
    <row r="1" spans="1:11" ht="21" x14ac:dyDescent="0.35">
      <c r="A1" s="21" t="s">
        <v>27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3" spans="1:11" x14ac:dyDescent="0.35">
      <c r="A3" s="13" t="s">
        <v>28</v>
      </c>
      <c r="C3" s="13" t="s">
        <v>29</v>
      </c>
      <c r="E3" s="13" t="s">
        <v>30</v>
      </c>
      <c r="G3" s="13" t="s">
        <v>31</v>
      </c>
      <c r="I3" s="13" t="s">
        <v>32</v>
      </c>
    </row>
    <row r="4" spans="1:11" ht="29" x14ac:dyDescent="0.35">
      <c r="A4" s="14" t="s">
        <v>33</v>
      </c>
      <c r="C4" s="14" t="s">
        <v>51</v>
      </c>
      <c r="E4" s="14" t="s">
        <v>17</v>
      </c>
      <c r="G4" s="14" t="s">
        <v>52</v>
      </c>
      <c r="I4" s="15" t="s">
        <v>34</v>
      </c>
      <c r="J4" s="16">
        <v>0</v>
      </c>
    </row>
    <row r="5" spans="1:11" x14ac:dyDescent="0.35">
      <c r="A5" s="14" t="s">
        <v>35</v>
      </c>
      <c r="C5" t="s">
        <v>54</v>
      </c>
      <c r="E5" s="14" t="s">
        <v>36</v>
      </c>
      <c r="G5" t="s">
        <v>55</v>
      </c>
    </row>
    <row r="6" spans="1:11" ht="15" customHeight="1" x14ac:dyDescent="0.35">
      <c r="A6" s="14" t="s">
        <v>37</v>
      </c>
      <c r="E6" s="14" t="s">
        <v>38</v>
      </c>
      <c r="I6" s="25" t="s">
        <v>39</v>
      </c>
      <c r="J6" s="25"/>
    </row>
    <row r="7" spans="1:11" x14ac:dyDescent="0.35">
      <c r="E7" s="14" t="s">
        <v>40</v>
      </c>
      <c r="I7" s="25"/>
      <c r="J7" s="25"/>
    </row>
    <row r="8" spans="1:11" x14ac:dyDescent="0.35">
      <c r="E8" s="14" t="s">
        <v>41</v>
      </c>
      <c r="I8" s="25"/>
      <c r="J8" s="25"/>
    </row>
    <row r="9" spans="1:11" x14ac:dyDescent="0.35">
      <c r="E9" s="14" t="s">
        <v>42</v>
      </c>
      <c r="I9" s="25"/>
      <c r="J9" s="25"/>
    </row>
    <row r="10" spans="1:11" x14ac:dyDescent="0.35">
      <c r="E10" s="14" t="s">
        <v>43</v>
      </c>
    </row>
    <row r="11" spans="1:11" x14ac:dyDescent="0.35">
      <c r="E11" s="20"/>
    </row>
  </sheetData>
  <mergeCells count="2">
    <mergeCell ref="A1:K1"/>
    <mergeCell ref="I6:J9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6"/>
  <sheetViews>
    <sheetView showGridLines="0" zoomScaleNormal="100" workbookViewId="0">
      <pane ySplit="5" topLeftCell="A6" activePane="bottomLeft" state="frozen"/>
      <selection pane="bottomLeft" activeCell="A6" sqref="A6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8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33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  <row r="6" spans="1:10" x14ac:dyDescent="0.35">
      <c r="A6" s="18"/>
      <c r="I6" s="19"/>
      <c r="J6" s="19"/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5"/>
  <sheetViews>
    <sheetView showGridLines="0" zoomScaleNormal="100" workbookViewId="0">
      <pane ySplit="5" topLeftCell="A6" activePane="bottomLeft" state="frozen"/>
      <selection pane="bottomLeft" sqref="A1:J1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35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6"/>
  <sheetViews>
    <sheetView showGridLines="0" zoomScaleNormal="100" workbookViewId="0">
      <pane ySplit="5" topLeftCell="A6" activePane="bottomLeft" state="frozen"/>
      <selection pane="bottomLeft" activeCell="A6" sqref="A6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37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  <row r="6" spans="1:10" x14ac:dyDescent="0.35">
      <c r="A6" s="18"/>
      <c r="I6" s="19"/>
      <c r="J6" s="19"/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3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18" customWidth="1"/>
    <col min="4" max="4" width="24" customWidth="1"/>
    <col min="5" max="5" width="18" customWidth="1"/>
    <col min="6" max="6" width="22" customWidth="1"/>
    <col min="7" max="8" width="14" customWidth="1"/>
    <col min="9" max="10" width="16" customWidth="1"/>
  </cols>
  <sheetData>
    <row r="1" spans="1:10" x14ac:dyDescent="0.35">
      <c r="A1" s="7" t="s">
        <v>11</v>
      </c>
      <c r="B1" s="7" t="s">
        <v>12</v>
      </c>
      <c r="C1" s="7" t="s">
        <v>13</v>
      </c>
      <c r="D1" s="7" t="s">
        <v>14</v>
      </c>
      <c r="E1" s="7" t="s">
        <v>47</v>
      </c>
      <c r="F1" s="7" t="s">
        <v>16</v>
      </c>
      <c r="G1" s="7" t="s">
        <v>48</v>
      </c>
      <c r="H1" s="7" t="s">
        <v>18</v>
      </c>
      <c r="I1" s="7" t="s">
        <v>19</v>
      </c>
      <c r="J1" s="7" t="s">
        <v>23</v>
      </c>
    </row>
    <row r="2" spans="1:10" x14ac:dyDescent="0.35">
      <c r="A2" s="18">
        <v>46188</v>
      </c>
      <c r="B2" t="s">
        <v>53</v>
      </c>
      <c r="C2" t="s">
        <v>33</v>
      </c>
      <c r="D2" t="s">
        <v>51</v>
      </c>
      <c r="E2" t="s">
        <v>52</v>
      </c>
      <c r="F2" t="s">
        <v>17</v>
      </c>
      <c r="G2">
        <v>30000</v>
      </c>
      <c r="H2">
        <v>0</v>
      </c>
      <c r="I2">
        <v>0</v>
      </c>
      <c r="J2">
        <v>30000</v>
      </c>
    </row>
    <row r="3" spans="1:10" x14ac:dyDescent="0.35">
      <c r="A3" s="18">
        <v>46188</v>
      </c>
      <c r="B3" t="s">
        <v>53</v>
      </c>
      <c r="C3" t="s">
        <v>37</v>
      </c>
      <c r="D3" t="s">
        <v>54</v>
      </c>
      <c r="E3" t="s">
        <v>55</v>
      </c>
      <c r="F3" t="s">
        <v>17</v>
      </c>
      <c r="G3">
        <v>30000</v>
      </c>
      <c r="H3">
        <v>0</v>
      </c>
      <c r="I3">
        <v>0</v>
      </c>
      <c r="J3">
        <v>30000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5"/>
  <sheetViews>
    <sheetView showGridLines="0" zoomScaleNormal="100" workbookViewId="0">
      <pane ySplit="5" topLeftCell="A6" activePane="bottomLeft" state="frozen"/>
      <selection pane="bottomLeft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50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>
  <dimension ref="A1:H64"/>
  <sheetViews>
    <sheetView showGridLines="0" workbookViewId="0"/>
  </sheetViews>
  <sheetFormatPr defaultRowHeight="15"/>
  <cols>
    <col min="1" max="1" width="14" customWidth="1"/>
    <col min="2" max="2" width="28" customWidth="1"/>
    <col min="3" max="3" width="16" customWidth="1"/>
    <col min="4" max="4" width="18" customWidth="1"/>
    <col min="5" max="5" width="14" customWidth="1"/>
    <col min="6" max="6" width="14" customWidth="1"/>
    <col min="7" max="7" width="12" customWidth="1"/>
    <col min="8" max="8" width="30" customWidth="1"/>
  </cols>
  <sheetData>
    <row r="1" spans="1:8" ht="21">
      <c r="A1" s="21" t="inlineStr">
        <is>
          <t>CRONOGRAMA DE PAGOS FIJOS</t>
        </is>
      </c>
      <c r="B1" s="21"/>
      <c r="C1" s="21"/>
      <c r="D1" s="21"/>
      <c r="E1" s="21"/>
      <c r="F1" s="21"/>
      <c r="G1" s="21"/>
      <c r="H1" s="21"/>
    </row>
    <row r="2" spans="1:8">
      <c r="A2" s="25" t="inlineStr">
        <is>
          <t>Cronograma de pagos fijos (renta, servicios, impuestos, etc.). Elige el Proyecto en la lista; cuando marques el Estatus como 'Pagado', el monto se carga a ese proyecto en la hoja Resumen.</t>
        </is>
      </c>
      <c r="B2" s="25"/>
      <c r="C2" s="25"/>
      <c r="D2" s="25"/>
      <c r="F2" s="5" t="inlineStr">
        <is>
          <t>Total programado:</t>
        </is>
      </c>
      <c r="G2" s="6">
        <f>SUM(F5:F1000)</f>
      </c>
    </row>
    <row r="3" spans="1:8">
      <c r="F3" s="5" t="inlineStr">
        <is>
          <t>Total pagado:</t>
        </is>
      </c>
      <c r="G3" s="6">
        <f>SUMIF(G5:G1000,"Pagado",F5:F1000)</f>
      </c>
    </row>
    <row r="4" spans="1:8">
      <c r="A4" s="7" t="inlineStr">
        <is>
          <t>Fecha de pago</t>
        </is>
      </c>
      <c r="B4" s="7" t="inlineStr">
        <is>
          <t>Concepto</t>
        </is>
      </c>
      <c r="C4" s="7" t="inlineStr">
        <is>
          <t>Categoria</t>
        </is>
      </c>
      <c r="D4" s="7" t="inlineStr">
        <is>
          <t>Proyecto</t>
        </is>
      </c>
      <c r="E4" s="7" t="inlineStr">
        <is>
          <t>Periodicidad</t>
        </is>
      </c>
      <c r="F4" s="7" t="inlineStr">
        <is>
          <t>Monto</t>
        </is>
      </c>
      <c r="G4" s="7" t="inlineStr">
        <is>
          <t>Estatus</t>
        </is>
      </c>
      <c r="H4" s="7" t="inlineStr">
        <is>
          <t>Notas</t>
        </is>
      </c>
    </row>
    <row r="5" spans="1:8">
      <c r="A5" s="28"/>
      <c r="B5" s="8"/>
      <c r="C5" s="8"/>
      <c r="D5" s="8"/>
      <c r="E5" s="8"/>
      <c r="F5" s="9"/>
      <c r="G5" s="8"/>
      <c r="H5" s="8"/>
    </row>
    <row r="6" spans="1:8">
      <c r="A6" s="28"/>
      <c r="B6" s="8"/>
      <c r="C6" s="8"/>
      <c r="D6" s="8"/>
      <c r="E6" s="8"/>
      <c r="F6" s="9"/>
      <c r="G6" s="8"/>
      <c r="H6" s="8"/>
    </row>
    <row r="7" spans="1:8">
      <c r="A7" s="28"/>
      <c r="B7" s="8"/>
      <c r="C7" s="8"/>
      <c r="D7" s="8"/>
      <c r="E7" s="8"/>
      <c r="F7" s="9"/>
      <c r="G7" s="8"/>
      <c r="H7" s="8"/>
    </row>
    <row r="8" spans="1:8">
      <c r="A8" s="28"/>
      <c r="B8" s="8"/>
      <c r="C8" s="8"/>
      <c r="D8" s="8"/>
      <c r="E8" s="8"/>
      <c r="F8" s="9"/>
      <c r="G8" s="8"/>
      <c r="H8" s="8"/>
    </row>
    <row r="9" spans="1:8">
      <c r="A9" s="28"/>
      <c r="B9" s="8"/>
      <c r="C9" s="8"/>
      <c r="D9" s="8"/>
      <c r="E9" s="8"/>
      <c r="F9" s="9"/>
      <c r="G9" s="8"/>
      <c r="H9" s="8"/>
    </row>
    <row r="10" spans="1:8">
      <c r="A10" s="28"/>
      <c r="B10" s="8"/>
      <c r="C10" s="8"/>
      <c r="D10" s="8"/>
      <c r="E10" s="8"/>
      <c r="F10" s="9"/>
      <c r="G10" s="8"/>
      <c r="H10" s="8"/>
    </row>
    <row r="11" spans="1:8">
      <c r="A11" s="28"/>
      <c r="B11" s="8"/>
      <c r="C11" s="8"/>
      <c r="D11" s="8"/>
      <c r="E11" s="8"/>
      <c r="F11" s="9"/>
      <c r="G11" s="8"/>
      <c r="H11" s="8"/>
    </row>
    <row r="12" spans="1:8">
      <c r="A12" s="28"/>
      <c r="B12" s="8"/>
      <c r="C12" s="8"/>
      <c r="D12" s="8"/>
      <c r="E12" s="8"/>
      <c r="F12" s="9"/>
      <c r="G12" s="8"/>
      <c r="H12" s="8"/>
    </row>
    <row r="13" spans="1:8">
      <c r="A13" s="28"/>
      <c r="B13" s="8"/>
      <c r="C13" s="8"/>
      <c r="D13" s="8"/>
      <c r="E13" s="8"/>
      <c r="F13" s="9"/>
      <c r="G13" s="8"/>
      <c r="H13" s="8"/>
    </row>
    <row r="14" spans="1:8">
      <c r="A14" s="28"/>
      <c r="B14" s="8"/>
      <c r="C14" s="8"/>
      <c r="D14" s="8"/>
      <c r="E14" s="8"/>
      <c r="F14" s="9"/>
      <c r="G14" s="8"/>
      <c r="H14" s="8"/>
    </row>
    <row r="15" spans="1:8">
      <c r="A15" s="28"/>
      <c r="B15" s="8"/>
      <c r="C15" s="8"/>
      <c r="D15" s="8"/>
      <c r="E15" s="8"/>
      <c r="F15" s="9"/>
      <c r="G15" s="8"/>
      <c r="H15" s="8"/>
    </row>
    <row r="16" spans="1:8">
      <c r="A16" s="28"/>
      <c r="B16" s="8"/>
      <c r="C16" s="8"/>
      <c r="D16" s="8"/>
      <c r="E16" s="8"/>
      <c r="F16" s="9"/>
      <c r="G16" s="8"/>
      <c r="H16" s="8"/>
    </row>
    <row r="17" spans="1:8">
      <c r="A17" s="28"/>
      <c r="B17" s="8"/>
      <c r="C17" s="8"/>
      <c r="D17" s="8"/>
      <c r="E17" s="8"/>
      <c r="F17" s="9"/>
      <c r="G17" s="8"/>
      <c r="H17" s="8"/>
    </row>
    <row r="18" spans="1:8">
      <c r="A18" s="28"/>
      <c r="B18" s="8"/>
      <c r="C18" s="8"/>
      <c r="D18" s="8"/>
      <c r="E18" s="8"/>
      <c r="F18" s="9"/>
      <c r="G18" s="8"/>
      <c r="H18" s="8"/>
    </row>
    <row r="19" spans="1:8">
      <c r="A19" s="28"/>
      <c r="B19" s="8"/>
      <c r="C19" s="8"/>
      <c r="D19" s="8"/>
      <c r="E19" s="8"/>
      <c r="F19" s="9"/>
      <c r="G19" s="8"/>
      <c r="H19" s="8"/>
    </row>
    <row r="20" spans="1:8">
      <c r="A20" s="28"/>
      <c r="B20" s="8"/>
      <c r="C20" s="8"/>
      <c r="D20" s="8"/>
      <c r="E20" s="8"/>
      <c r="F20" s="9"/>
      <c r="G20" s="8"/>
      <c r="H20" s="8"/>
    </row>
    <row r="21" spans="1:8">
      <c r="A21" s="28"/>
      <c r="B21" s="8"/>
      <c r="C21" s="8"/>
      <c r="D21" s="8"/>
      <c r="E21" s="8"/>
      <c r="F21" s="9"/>
      <c r="G21" s="8"/>
      <c r="H21" s="8"/>
    </row>
    <row r="22" spans="1:8">
      <c r="A22" s="28"/>
      <c r="B22" s="8"/>
      <c r="C22" s="8"/>
      <c r="D22" s="8"/>
      <c r="E22" s="8"/>
      <c r="F22" s="9"/>
      <c r="G22" s="8"/>
      <c r="H22" s="8"/>
    </row>
    <row r="23" spans="1:8">
      <c r="A23" s="28"/>
      <c r="B23" s="8"/>
      <c r="C23" s="8"/>
      <c r="D23" s="8"/>
      <c r="E23" s="8"/>
      <c r="F23" s="9"/>
      <c r="G23" s="8"/>
      <c r="H23" s="8"/>
    </row>
    <row r="24" spans="1:8">
      <c r="A24" s="28"/>
      <c r="B24" s="8"/>
      <c r="C24" s="8"/>
      <c r="D24" s="8"/>
      <c r="E24" s="8"/>
      <c r="F24" s="9"/>
      <c r="G24" s="8"/>
      <c r="H24" s="8"/>
    </row>
    <row r="25" spans="1:8">
      <c r="A25" s="28"/>
      <c r="B25" s="8"/>
      <c r="C25" s="8"/>
      <c r="D25" s="8"/>
      <c r="E25" s="8"/>
      <c r="F25" s="9"/>
      <c r="G25" s="8"/>
      <c r="H25" s="8"/>
    </row>
    <row r="26" spans="1:8">
      <c r="A26" s="28"/>
      <c r="B26" s="8"/>
      <c r="C26" s="8"/>
      <c r="D26" s="8"/>
      <c r="E26" s="8"/>
      <c r="F26" s="9"/>
      <c r="G26" s="8"/>
      <c r="H26" s="8"/>
    </row>
    <row r="27" spans="1:8">
      <c r="A27" s="28"/>
      <c r="B27" s="8"/>
      <c r="C27" s="8"/>
      <c r="D27" s="8"/>
      <c r="E27" s="8"/>
      <c r="F27" s="9"/>
      <c r="G27" s="8"/>
      <c r="H27" s="8"/>
    </row>
    <row r="28" spans="1:8">
      <c r="A28" s="28"/>
      <c r="B28" s="8"/>
      <c r="C28" s="8"/>
      <c r="D28" s="8"/>
      <c r="E28" s="8"/>
      <c r="F28" s="9"/>
      <c r="G28" s="8"/>
      <c r="H28" s="8"/>
    </row>
    <row r="29" spans="1:8">
      <c r="A29" s="28"/>
      <c r="B29" s="8"/>
      <c r="C29" s="8"/>
      <c r="D29" s="8"/>
      <c r="E29" s="8"/>
      <c r="F29" s="9"/>
      <c r="G29" s="8"/>
      <c r="H29" s="8"/>
    </row>
    <row r="30" spans="1:8">
      <c r="A30" s="28"/>
      <c r="B30" s="8"/>
      <c r="C30" s="8"/>
      <c r="D30" s="8"/>
      <c r="E30" s="8"/>
      <c r="F30" s="9"/>
      <c r="G30" s="8"/>
      <c r="H30" s="8"/>
    </row>
    <row r="31" spans="1:8">
      <c r="A31" s="28"/>
      <c r="B31" s="8"/>
      <c r="C31" s="8"/>
      <c r="D31" s="8"/>
      <c r="E31" s="8"/>
      <c r="F31" s="9"/>
      <c r="G31" s="8"/>
      <c r="H31" s="8"/>
    </row>
    <row r="32" spans="1:8">
      <c r="A32" s="28"/>
      <c r="B32" s="8"/>
      <c r="C32" s="8"/>
      <c r="D32" s="8"/>
      <c r="E32" s="8"/>
      <c r="F32" s="9"/>
      <c r="G32" s="8"/>
      <c r="H32" s="8"/>
    </row>
    <row r="33" spans="1:8">
      <c r="A33" s="28"/>
      <c r="B33" s="8"/>
      <c r="C33" s="8"/>
      <c r="D33" s="8"/>
      <c r="E33" s="8"/>
      <c r="F33" s="9"/>
      <c r="G33" s="8"/>
      <c r="H33" s="8"/>
    </row>
    <row r="34" spans="1:8">
      <c r="A34" s="28"/>
      <c r="B34" s="8"/>
      <c r="C34" s="8"/>
      <c r="D34" s="8"/>
      <c r="E34" s="8"/>
      <c r="F34" s="9"/>
      <c r="G34" s="8"/>
      <c r="H34" s="8"/>
    </row>
    <row r="35" spans="1:8">
      <c r="A35" s="28"/>
      <c r="B35" s="8"/>
      <c r="C35" s="8"/>
      <c r="D35" s="8"/>
      <c r="E35" s="8"/>
      <c r="F35" s="9"/>
      <c r="G35" s="8"/>
      <c r="H35" s="8"/>
    </row>
    <row r="36" spans="1:8">
      <c r="A36" s="28"/>
      <c r="B36" s="8"/>
      <c r="C36" s="8"/>
      <c r="D36" s="8"/>
      <c r="E36" s="8"/>
      <c r="F36" s="9"/>
      <c r="G36" s="8"/>
      <c r="H36" s="8"/>
    </row>
    <row r="37" spans="1:8">
      <c r="A37" s="28"/>
      <c r="B37" s="8"/>
      <c r="C37" s="8"/>
      <c r="D37" s="8"/>
      <c r="E37" s="8"/>
      <c r="F37" s="9"/>
      <c r="G37" s="8"/>
      <c r="H37" s="8"/>
    </row>
    <row r="38" spans="1:8">
      <c r="A38" s="28"/>
      <c r="B38" s="8"/>
      <c r="C38" s="8"/>
      <c r="D38" s="8"/>
      <c r="E38" s="8"/>
      <c r="F38" s="9"/>
      <c r="G38" s="8"/>
      <c r="H38" s="8"/>
    </row>
    <row r="39" spans="1:8">
      <c r="A39" s="28"/>
      <c r="B39" s="8"/>
      <c r="C39" s="8"/>
      <c r="D39" s="8"/>
      <c r="E39" s="8"/>
      <c r="F39" s="9"/>
      <c r="G39" s="8"/>
      <c r="H39" s="8"/>
    </row>
    <row r="40" spans="1:8">
      <c r="A40" s="28"/>
      <c r="B40" s="8"/>
      <c r="C40" s="8"/>
      <c r="D40" s="8"/>
      <c r="E40" s="8"/>
      <c r="F40" s="9"/>
      <c r="G40" s="8"/>
      <c r="H40" s="8"/>
    </row>
    <row r="41" spans="1:8">
      <c r="A41" s="28"/>
      <c r="B41" s="8"/>
      <c r="C41" s="8"/>
      <c r="D41" s="8"/>
      <c r="E41" s="8"/>
      <c r="F41" s="9"/>
      <c r="G41" s="8"/>
      <c r="H41" s="8"/>
    </row>
    <row r="42" spans="1:8">
      <c r="A42" s="28"/>
      <c r="B42" s="8"/>
      <c r="C42" s="8"/>
      <c r="D42" s="8"/>
      <c r="E42" s="8"/>
      <c r="F42" s="9"/>
      <c r="G42" s="8"/>
      <c r="H42" s="8"/>
    </row>
    <row r="43" spans="1:8">
      <c r="A43" s="28"/>
      <c r="B43" s="8"/>
      <c r="C43" s="8"/>
      <c r="D43" s="8"/>
      <c r="E43" s="8"/>
      <c r="F43" s="9"/>
      <c r="G43" s="8"/>
      <c r="H43" s="8"/>
    </row>
    <row r="44" spans="1:8">
      <c r="A44" s="28"/>
      <c r="B44" s="8"/>
      <c r="C44" s="8"/>
      <c r="D44" s="8"/>
      <c r="E44" s="8"/>
      <c r="F44" s="9"/>
      <c r="G44" s="8"/>
      <c r="H44" s="8"/>
    </row>
    <row r="45" spans="1:8">
      <c r="A45" s="28"/>
      <c r="B45" s="8"/>
      <c r="C45" s="8"/>
      <c r="D45" s="8"/>
      <c r="E45" s="8"/>
      <c r="F45" s="9"/>
      <c r="G45" s="8"/>
      <c r="H45" s="8"/>
    </row>
    <row r="46" spans="1:8">
      <c r="A46" s="28"/>
      <c r="B46" s="8"/>
      <c r="C46" s="8"/>
      <c r="D46" s="8"/>
      <c r="E46" s="8"/>
      <c r="F46" s="9"/>
      <c r="G46" s="8"/>
      <c r="H46" s="8"/>
    </row>
    <row r="47" spans="1:8">
      <c r="A47" s="28"/>
      <c r="B47" s="8"/>
      <c r="C47" s="8"/>
      <c r="D47" s="8"/>
      <c r="E47" s="8"/>
      <c r="F47" s="9"/>
      <c r="G47" s="8"/>
      <c r="H47" s="8"/>
    </row>
    <row r="48" spans="1:8">
      <c r="A48" s="28"/>
      <c r="B48" s="8"/>
      <c r="C48" s="8"/>
      <c r="D48" s="8"/>
      <c r="E48" s="8"/>
      <c r="F48" s="9"/>
      <c r="G48" s="8"/>
      <c r="H48" s="8"/>
    </row>
    <row r="49" spans="1:8">
      <c r="A49" s="28"/>
      <c r="B49" s="8"/>
      <c r="C49" s="8"/>
      <c r="D49" s="8"/>
      <c r="E49" s="8"/>
      <c r="F49" s="9"/>
      <c r="G49" s="8"/>
      <c r="H49" s="8"/>
    </row>
    <row r="50" spans="1:8">
      <c r="A50" s="28"/>
      <c r="B50" s="8"/>
      <c r="C50" s="8"/>
      <c r="D50" s="8"/>
      <c r="E50" s="8"/>
      <c r="F50" s="9"/>
      <c r="G50" s="8"/>
      <c r="H50" s="8"/>
    </row>
    <row r="51" spans="1:8">
      <c r="A51" s="28"/>
      <c r="B51" s="8"/>
      <c r="C51" s="8"/>
      <c r="D51" s="8"/>
      <c r="E51" s="8"/>
      <c r="F51" s="9"/>
      <c r="G51" s="8"/>
      <c r="H51" s="8"/>
    </row>
    <row r="52" spans="1:8">
      <c r="A52" s="28"/>
      <c r="B52" s="8"/>
      <c r="C52" s="8"/>
      <c r="D52" s="8"/>
      <c r="E52" s="8"/>
      <c r="F52" s="9"/>
      <c r="G52" s="8"/>
      <c r="H52" s="8"/>
    </row>
    <row r="53" spans="1:8">
      <c r="A53" s="28"/>
      <c r="B53" s="8"/>
      <c r="C53" s="8"/>
      <c r="D53" s="8"/>
      <c r="E53" s="8"/>
      <c r="F53" s="9"/>
      <c r="G53" s="8"/>
      <c r="H53" s="8"/>
    </row>
    <row r="54" spans="1:8">
      <c r="A54" s="28"/>
      <c r="B54" s="8"/>
      <c r="C54" s="8"/>
      <c r="D54" s="8"/>
      <c r="E54" s="8"/>
      <c r="F54" s="9"/>
      <c r="G54" s="8"/>
      <c r="H54" s="8"/>
    </row>
    <row r="55" spans="1:8">
      <c r="A55" s="28"/>
      <c r="B55" s="8"/>
      <c r="C55" s="8"/>
      <c r="D55" s="8"/>
      <c r="E55" s="8"/>
      <c r="F55" s="9"/>
      <c r="G55" s="8"/>
      <c r="H55" s="8"/>
    </row>
    <row r="56" spans="1:8">
      <c r="A56" s="28"/>
      <c r="B56" s="8"/>
      <c r="C56" s="8"/>
      <c r="D56" s="8"/>
      <c r="E56" s="8"/>
      <c r="F56" s="9"/>
      <c r="G56" s="8"/>
      <c r="H56" s="8"/>
    </row>
    <row r="57" spans="1:8">
      <c r="A57" s="28"/>
      <c r="B57" s="8"/>
      <c r="C57" s="8"/>
      <c r="D57" s="8"/>
      <c r="E57" s="8"/>
      <c r="F57" s="9"/>
      <c r="G57" s="8"/>
      <c r="H57" s="8"/>
    </row>
    <row r="58" spans="1:8">
      <c r="A58" s="28"/>
      <c r="B58" s="8"/>
      <c r="C58" s="8"/>
      <c r="D58" s="8"/>
      <c r="E58" s="8"/>
      <c r="F58" s="9"/>
      <c r="G58" s="8"/>
      <c r="H58" s="8"/>
    </row>
    <row r="59" spans="1:8">
      <c r="A59" s="28"/>
      <c r="B59" s="8"/>
      <c r="C59" s="8"/>
      <c r="D59" s="8"/>
      <c r="E59" s="8"/>
      <c r="F59" s="9"/>
      <c r="G59" s="8"/>
      <c r="H59" s="8"/>
    </row>
    <row r="60" spans="1:8">
      <c r="A60" s="28"/>
      <c r="B60" s="8"/>
      <c r="C60" s="8"/>
      <c r="D60" s="8"/>
      <c r="E60" s="8"/>
      <c r="F60" s="9"/>
      <c r="G60" s="8"/>
      <c r="H60" s="8"/>
    </row>
    <row r="61" spans="1:8">
      <c r="A61" s="28"/>
      <c r="B61" s="8"/>
      <c r="C61" s="8"/>
      <c r="D61" s="8"/>
      <c r="E61" s="8"/>
      <c r="F61" s="9"/>
      <c r="G61" s="8"/>
      <c r="H61" s="8"/>
    </row>
    <row r="62" spans="1:8">
      <c r="A62" s="28"/>
      <c r="B62" s="8"/>
      <c r="C62" s="8"/>
      <c r="D62" s="8"/>
      <c r="E62" s="8"/>
      <c r="F62" s="9"/>
      <c r="G62" s="8"/>
      <c r="H62" s="8"/>
    </row>
    <row r="63" spans="1:8">
      <c r="A63" s="28"/>
      <c r="B63" s="8"/>
      <c r="C63" s="8"/>
      <c r="D63" s="8"/>
      <c r="E63" s="8"/>
      <c r="F63" s="9"/>
      <c r="G63" s="8"/>
      <c r="H63" s="8"/>
    </row>
    <row r="64" spans="1:8">
      <c r="A64" s="28"/>
      <c r="B64" s="8"/>
      <c r="C64" s="8"/>
      <c r="D64" s="8"/>
      <c r="E64" s="8"/>
      <c r="F64" s="9"/>
      <c r="G64" s="8"/>
      <c r="H64" s="8"/>
    </row>
  </sheetData>
  <mergeCells count="2">
    <mergeCell ref="A1:H1"/>
    <mergeCell ref="A2:D2"/>
  </mergeCells>
  <dataValidations count="4">
    <dataValidation type="list" allowBlank="1" showInputMessage="1" showErrorMessage="1" sqref="C5:C1000">
      <formula1>"Renta,Servicio,Impuesto,Predial,Mantenimiento,Otro"</formula1>
    </dataValidation>
    <dataValidation type="list" allowBlank="1" showInputMessage="1" showErrorMessage="1" sqref="D5:D1000">
      <formula1>ListaProyectos</formula1>
    </dataValidation>
    <dataValidation type="list" allowBlank="1" showInputMessage="1" showErrorMessage="1" sqref="E5:E1000">
      <formula1>"Unico,Mensual,Bimestral,Trimestral,Semestral,Anual"</formula1>
    </dataValidation>
    <dataValidation type="list" allowBlank="1" showInputMessage="1" showErrorMessage="1" sqref="G5:G1000">
      <formula1>"Pendiente,Pagado"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Inicio</vt:lpstr>
      <vt:lpstr>Captura</vt:lpstr>
      <vt:lpstr>Resumen</vt:lpstr>
      <vt:lpstr>Pagos fijos</vt:lpstr>
      <vt:lpstr>Catalogos</vt:lpstr>
      <vt:lpstr>Tabmex</vt:lpstr>
      <vt:lpstr>Contrato voceo</vt:lpstr>
      <vt:lpstr>Producción</vt:lpstr>
      <vt:lpstr>_Movimientos</vt:lpstr>
      <vt:lpstr>_Plantilla</vt:lpstr>
      <vt:lpstr>FactorCargaSocial</vt:lpstr>
      <vt:lpstr>ListaConceptos</vt:lpstr>
      <vt:lpstr>ListaEmpleados</vt:lpstr>
      <vt:lpstr>ListaProyectos</vt:lpstr>
      <vt:lpstr>ListaPuestos</vt:lpstr>
      <vt:lpstr>PagosProyecto</vt:lpstr>
      <vt:lpstr>PagosMonto</vt:lpstr>
      <vt:lpstr>PagosEstatus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Iván Sánchez High Performance sanchez</cp:lastModifiedBy>
  <cp:revision>1</cp:revision>
  <dcterms:created xsi:type="dcterms:W3CDTF">2026-06-16T19:06:40Z</dcterms:created>
  <dcterms:modified xsi:type="dcterms:W3CDTF">2026-06-18T18:38:40Z</dcterms:modified>
  <dc:language>en-US</dc:language>
</cp:coreProperties>
</file>