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icio" sheetId="1" state="visible" r:id="rId1"/>
    <sheet name="Captura" sheetId="2" state="visible" r:id="rId2"/>
    <sheet name="Resumen" sheetId="3" state="visible" r:id="rId3"/>
    <sheet name="Catalogos" sheetId="4" state="visible" r:id="rId4"/>
    <sheet name="Tabmex" sheetId="5" state="visible" r:id="rId5"/>
    <sheet name="Contrato voceo" sheetId="6" state="visible" r:id="rId6"/>
    <sheet name="Producción" sheetId="7" state="visible" r:id="rId7"/>
    <sheet name="_Movimientos" sheetId="8" state="hidden" r:id="rId8"/>
    <sheet name="_Plantilla" sheetId="9" state="hidden" r:id="rId9"/>
  </sheets>
  <definedNames>
    <definedName name="FactorCargaSocial">Catalogos!$H$4</definedName>
    <definedName name="ListaProyectos">Catalogos!$A$4:$A$203</definedName>
    <definedName name="ListaEmpleados">Catalogos!$C$4:$C$203</definedName>
    <definedName name="ListaConceptos">Catalogos!$E$4:$E$23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#,##0.00 &quot;MXN&quot;;[Red]-#,##0.00 &quot;MXN&quot;"/>
    <numFmt numFmtId="166" formatCode="dd/mm/yyyy"/>
  </numFmts>
  <fonts count="12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color rgb="00FFFFFF"/>
      <sz val="11"/>
    </font>
    <font>
      <name val="Calibri"/>
      <sz val="11"/>
    </font>
    <font>
      <name val="Calibri"/>
      <b val="1"/>
      <color rgb="001F4E79"/>
      <sz val="11"/>
    </font>
    <font>
      <name val="Calibri"/>
      <i val="1"/>
      <color rgb="00808080"/>
      <sz val="9"/>
    </font>
    <font>
      <b val="1"/>
      <color rgb="00548235"/>
    </font>
    <font>
      <b val="1"/>
      <color rgb="001F4E79"/>
      <sz val="12"/>
    </font>
    <font>
      <b val="1"/>
      <color rgb="00548235"/>
      <sz val="12"/>
    </font>
    <font>
      <b val="1"/>
    </font>
    <font>
      <b val="1"/>
      <color rgb="001F4E79"/>
    </font>
    <font>
      <sz val="11"/>
    </font>
  </fonts>
  <fills count="5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2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4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right" vertical="center"/>
    </xf>
    <xf numFmtId="166" fontId="3" fillId="3" borderId="1" pivotButton="0" quotePrefix="0" xfId="0"/>
    <xf numFmtId="0" fontId="3" fillId="3" borderId="1" pivotButton="0" quotePrefix="0" xfId="0"/>
    <xf numFmtId="165" fontId="3" fillId="3" borderId="1" pivotButton="0" quotePrefix="0" xfId="0"/>
    <xf numFmtId="0" fontId="7" fillId="0" borderId="0" applyAlignment="1" pivotButton="0" quotePrefix="0" xfId="0">
      <alignment horizontal="right" vertical="center"/>
    </xf>
    <xf numFmtId="165" fontId="8" fillId="4" borderId="1" pivotButton="0" quotePrefix="0" xfId="0"/>
    <xf numFmtId="0" fontId="5" fillId="0" borderId="0" applyAlignment="1" pivotButton="0" quotePrefix="0" xfId="0">
      <alignment horizontal="left" vertical="top" wrapText="1"/>
    </xf>
    <xf numFmtId="0" fontId="2" fillId="2" borderId="1" applyAlignment="1" pivotButton="0" quotePrefix="0" xfId="0">
      <alignment horizontal="center" vertical="center"/>
    </xf>
    <xf numFmtId="0" fontId="0" fillId="0" borderId="1" pivotButton="0" quotePrefix="0" xfId="0"/>
    <xf numFmtId="165" fontId="0" fillId="0" borderId="1" pivotButton="0" quotePrefix="0" xfId="0"/>
    <xf numFmtId="165" fontId="9" fillId="0" borderId="1" pivotButton="0" quotePrefix="0" xfId="0"/>
    <xf numFmtId="0" fontId="10" fillId="0" borderId="0" pivotButton="0" quotePrefix="0" xfId="0"/>
    <xf numFmtId="165" fontId="6" fillId="4" borderId="1" pivotButton="0" quotePrefix="0" xfId="0"/>
    <xf numFmtId="0" fontId="2" fillId="2" borderId="0" pivotButton="0" quotePrefix="0" xfId="0"/>
    <xf numFmtId="0" fontId="3" fillId="0" borderId="1" pivotButton="0" quotePrefix="0" xfId="0"/>
    <xf numFmtId="0" fontId="4" fillId="0" borderId="0" applyAlignment="1" pivotButton="0" quotePrefix="0" xfId="0">
      <alignment horizontal="left" vertical="top" wrapText="1"/>
    </xf>
    <xf numFmtId="164" fontId="3" fillId="3" borderId="1" pivotButton="0" quotePrefix="0" xfId="0"/>
    <xf numFmtId="0" fontId="4" fillId="0" borderId="0" pivotButton="0" quotePrefix="0" xfId="0"/>
    <xf numFmtId="165" fontId="6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Vml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1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2">
      <c r="B2" s="1" t="inlineStr">
        <is>
          <t>NOMINA POR PROYECTO  -  Guia rapida</t>
        </is>
      </c>
    </row>
    <row r="4">
      <c r="B4" s="2" t="inlineStr">
        <is>
          <t>1. Activa las macros: al abrir, si sale la barra amarilla arriba, pulsa 'Habilitar contenido'.</t>
        </is>
      </c>
    </row>
    <row r="5">
      <c r="B5" s="2" t="inlineStr">
        <is>
          <t>2. (Solo la 1a vez) Importa la macro: Alt+F11 -&gt; Archivo -&gt; Importar archivo -&gt; CargarGasto.bas.</t>
        </is>
      </c>
    </row>
    <row r="6">
      <c r="B6" s="2" t="inlineStr">
        <is>
          <t>3. Ve a la hoja CAPTURA y llena: Fecha, Proyecto, Empleado, Concepto, Sueldo, Bonos, Otras prestaciones.</t>
        </is>
      </c>
    </row>
    <row r="7">
      <c r="B7" s="2" t="inlineStr">
        <is>
          <t>4. Ejecuta la macro: Alt+F8 -&gt; CargarGasto -&gt; Ejecutar (o usa el boton si insertaste uno).</t>
        </is>
      </c>
    </row>
    <row r="8">
      <c r="B8" s="2" t="inlineStr">
        <is>
          <t>5. El registro se manda a la hoja del proyecto (la crea si no existe) y al libro _Movimientos.</t>
        </is>
      </c>
    </row>
    <row r="9">
      <c r="B9" s="2" t="inlineStr">
        <is>
          <t>6. RESUMEN y los totales por proyecto se actualizan solos (formulas SUMIFS).</t>
        </is>
      </c>
    </row>
    <row r="10">
      <c r="B10" s="2" t="inlineStr"/>
    </row>
    <row r="11">
      <c r="B11" s="3" t="inlineStr">
        <is>
          <t>CATALOGOS: edita aqui tus Proyectos, Empleados, Conceptos y el Factor de carga social patronal (%).</t>
        </is>
      </c>
    </row>
    <row r="12">
      <c r="B12" s="4" t="inlineStr">
        <is>
          <t>Si el factor es 0% solo se cuenta lo pagado en mano; subelo para reflejar el costo patronal real.</t>
        </is>
      </c>
    </row>
    <row r="13">
      <c r="B13" s="2" t="inlineStr"/>
    </row>
    <row r="14">
      <c r="B14" s="3" t="inlineStr">
        <is>
          <t>IMPORTANTE: al guardar conserva el formato .xlsm (Excel a veces sugiere .xlsx, que borra las macros).</t>
        </is>
      </c>
    </row>
  </sheetData>
  <mergeCells count="12">
    <mergeCell ref="B8:H8"/>
    <mergeCell ref="B14:H14"/>
    <mergeCell ref="B9:H9"/>
    <mergeCell ref="B13:H13"/>
    <mergeCell ref="B4:H4"/>
    <mergeCell ref="B12:H12"/>
    <mergeCell ref="B6:H6"/>
    <mergeCell ref="B2:H2"/>
    <mergeCell ref="B7:H7"/>
    <mergeCell ref="B10:H10"/>
    <mergeCell ref="B11:H11"/>
    <mergeCell ref="B5:H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B2:D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6" customWidth="1" min="3" max="3"/>
    <col width="6" customWidth="1" min="4" max="4"/>
  </cols>
  <sheetData>
    <row r="2">
      <c r="B2" s="1" t="inlineStr">
        <is>
          <t>CAPTURA DE GASTO DE NOMINA</t>
        </is>
      </c>
    </row>
    <row r="4">
      <c r="B4" s="5" t="inlineStr">
        <is>
          <t>Fecha</t>
        </is>
      </c>
      <c r="C4" s="6" t="n"/>
    </row>
    <row r="5">
      <c r="B5" s="5" t="inlineStr">
        <is>
          <t>Proyecto</t>
        </is>
      </c>
      <c r="C5" s="7" t="n"/>
    </row>
    <row r="6">
      <c r="B6" s="5" t="inlineStr">
        <is>
          <t>Empleado</t>
        </is>
      </c>
      <c r="C6" s="7" t="n"/>
    </row>
    <row r="7">
      <c r="B7" s="5" t="inlineStr">
        <is>
          <t>Concepto</t>
        </is>
      </c>
      <c r="C7" s="7" t="n"/>
    </row>
    <row r="9">
      <c r="B9" s="5" t="inlineStr">
        <is>
          <t>Sueldo base</t>
        </is>
      </c>
      <c r="C9" s="8" t="n"/>
    </row>
    <row r="10">
      <c r="B10" s="5" t="inlineStr">
        <is>
          <t>Bonos</t>
        </is>
      </c>
      <c r="C10" s="8" t="n"/>
    </row>
    <row r="11">
      <c r="B11" s="5" t="inlineStr">
        <is>
          <t>Otras prestaciones</t>
        </is>
      </c>
      <c r="C11" s="8" t="n"/>
    </row>
    <row r="16">
      <c r="B16" s="9" t="inlineStr">
        <is>
          <t>TOTAL (vista previa)</t>
        </is>
      </c>
      <c r="C16" s="10">
        <f>N(C9)+N(C10)+N(C11)</f>
        <v/>
      </c>
    </row>
    <row r="18">
      <c r="B18" s="11" t="inlineStr">
        <is>
          <t>C16 es solo vista previa del registro; no es un boton. Llena los campos y ejecuta la macro CargarGasto (Alt+F8) o el boton.</t>
        </is>
      </c>
    </row>
    <row r="19"/>
    <row r="20"/>
  </sheetData>
  <mergeCells count="2">
    <mergeCell ref="B18:D20"/>
    <mergeCell ref="B2:D2"/>
  </mergeCells>
  <dataValidations count="3">
    <dataValidation sqref="C5" showDropDown="0" showInputMessage="0" showErrorMessage="0" allowBlank="1" type="list">
      <formula1>=ListaProyectos</formula1>
    </dataValidation>
    <dataValidation sqref="C6" showDropDown="0" showInputMessage="0" showErrorMessage="0" allowBlank="1" type="list">
      <formula1>=ListaEmpleados</formula1>
    </dataValidation>
    <dataValidation sqref="C7" showDropDown="0" showInputMessage="0" showErrorMessage="0" allowBlank="1" type="list">
      <formula1>=ListaConceptos</formula1>
    </dataValidation>
  </dataValidations>
  <pageMargins left="0.75" right="0.75" top="1" bottom="1" header="0.5" footer="0.5"/>
  <legacyDrawing r:id="rIdVml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54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18" customWidth="1" min="4" max="4"/>
  </cols>
  <sheetData>
    <row r="1">
      <c r="A1" s="1" t="inlineStr">
        <is>
          <t>RESUMEN CONSOLIDADO POR PROYECTO</t>
        </is>
      </c>
    </row>
    <row r="3">
      <c r="A3" s="12" t="inlineStr">
        <is>
          <t>Proyecto</t>
        </is>
      </c>
      <c r="B3" s="12" t="inlineStr">
        <is>
          <t>Total percibido</t>
        </is>
      </c>
      <c r="C3" s="12" t="inlineStr">
        <is>
          <t>Carga social</t>
        </is>
      </c>
      <c r="D3" s="12" t="inlineStr">
        <is>
          <t>Costo total</t>
        </is>
      </c>
    </row>
    <row r="4">
      <c r="A4" s="13">
        <f>Catalogos!$A$4</f>
        <v/>
      </c>
      <c r="B4" s="14">
        <f>IF(Catalogos!$A$4="","",SUMIFS('_Movimientos'!$H:$H,'_Movimientos'!$B:$B,Catalogos!$A$4))</f>
        <v/>
      </c>
      <c r="C4" s="14">
        <f>IF(Catalogos!$A$4="","",B4*FactorCargaSocial)</f>
        <v/>
      </c>
      <c r="D4" s="15">
        <f>IF(Catalogos!$A$4="","",B4+C4)</f>
        <v/>
      </c>
    </row>
    <row r="5">
      <c r="A5" s="13">
        <f>Catalogos!$A$5</f>
        <v/>
      </c>
      <c r="B5" s="14">
        <f>IF(Catalogos!$A$5="","",SUMIFS('_Movimientos'!$H:$H,'_Movimientos'!$B:$B,Catalogos!$A$5))</f>
        <v/>
      </c>
      <c r="C5" s="14">
        <f>IF(Catalogos!$A$5="","",B5*FactorCargaSocial)</f>
        <v/>
      </c>
      <c r="D5" s="15">
        <f>IF(Catalogos!$A$5="","",B5+C5)</f>
        <v/>
      </c>
    </row>
    <row r="6">
      <c r="A6" s="13">
        <f>Catalogos!$A$6</f>
        <v/>
      </c>
      <c r="B6" s="14">
        <f>IF(Catalogos!$A$6="","",SUMIFS('_Movimientos'!$H:$H,'_Movimientos'!$B:$B,Catalogos!$A$6))</f>
        <v/>
      </c>
      <c r="C6" s="14">
        <f>IF(Catalogos!$A$6="","",B6*FactorCargaSocial)</f>
        <v/>
      </c>
      <c r="D6" s="15">
        <f>IF(Catalogos!$A$6="","",B6+C6)</f>
        <v/>
      </c>
    </row>
    <row r="7">
      <c r="A7" s="13">
        <f>Catalogos!$A$7</f>
        <v/>
      </c>
      <c r="B7" s="14">
        <f>IF(Catalogos!$A$7="","",SUMIFS('_Movimientos'!$H:$H,'_Movimientos'!$B:$B,Catalogos!$A$7))</f>
        <v/>
      </c>
      <c r="C7" s="14">
        <f>IF(Catalogos!$A$7="","",B7*FactorCargaSocial)</f>
        <v/>
      </c>
      <c r="D7" s="15">
        <f>IF(Catalogos!$A$7="","",B7+C7)</f>
        <v/>
      </c>
    </row>
    <row r="8">
      <c r="A8" s="13">
        <f>Catalogos!$A$8</f>
        <v/>
      </c>
      <c r="B8" s="14">
        <f>IF(Catalogos!$A$8="","",SUMIFS('_Movimientos'!$H:$H,'_Movimientos'!$B:$B,Catalogos!$A$8))</f>
        <v/>
      </c>
      <c r="C8" s="14">
        <f>IF(Catalogos!$A$8="","",B8*FactorCargaSocial)</f>
        <v/>
      </c>
      <c r="D8" s="15">
        <f>IF(Catalogos!$A$8="","",B8+C8)</f>
        <v/>
      </c>
    </row>
    <row r="9">
      <c r="A9" s="13">
        <f>Catalogos!$A$9</f>
        <v/>
      </c>
      <c r="B9" s="14">
        <f>IF(Catalogos!$A$9="","",SUMIFS('_Movimientos'!$H:$H,'_Movimientos'!$B:$B,Catalogos!$A$9))</f>
        <v/>
      </c>
      <c r="C9" s="14">
        <f>IF(Catalogos!$A$9="","",B9*FactorCargaSocial)</f>
        <v/>
      </c>
      <c r="D9" s="15">
        <f>IF(Catalogos!$A$9="","",B9+C9)</f>
        <v/>
      </c>
    </row>
    <row r="10">
      <c r="A10" s="13">
        <f>Catalogos!$A$10</f>
        <v/>
      </c>
      <c r="B10" s="14">
        <f>IF(Catalogos!$A$10="","",SUMIFS('_Movimientos'!$H:$H,'_Movimientos'!$B:$B,Catalogos!$A$10))</f>
        <v/>
      </c>
      <c r="C10" s="14">
        <f>IF(Catalogos!$A$10="","",B10*FactorCargaSocial)</f>
        <v/>
      </c>
      <c r="D10" s="15">
        <f>IF(Catalogos!$A$10="","",B10+C10)</f>
        <v/>
      </c>
    </row>
    <row r="11">
      <c r="A11" s="13">
        <f>Catalogos!$A$11</f>
        <v/>
      </c>
      <c r="B11" s="14">
        <f>IF(Catalogos!$A$11="","",SUMIFS('_Movimientos'!$H:$H,'_Movimientos'!$B:$B,Catalogos!$A$11))</f>
        <v/>
      </c>
      <c r="C11" s="14">
        <f>IF(Catalogos!$A$11="","",B11*FactorCargaSocial)</f>
        <v/>
      </c>
      <c r="D11" s="15">
        <f>IF(Catalogos!$A$11="","",B11+C11)</f>
        <v/>
      </c>
    </row>
    <row r="12">
      <c r="A12" s="13">
        <f>Catalogos!$A$12</f>
        <v/>
      </c>
      <c r="B12" s="14">
        <f>IF(Catalogos!$A$12="","",SUMIFS('_Movimientos'!$H:$H,'_Movimientos'!$B:$B,Catalogos!$A$12))</f>
        <v/>
      </c>
      <c r="C12" s="14">
        <f>IF(Catalogos!$A$12="","",B12*FactorCargaSocial)</f>
        <v/>
      </c>
      <c r="D12" s="15">
        <f>IF(Catalogos!$A$12="","",B12+C12)</f>
        <v/>
      </c>
    </row>
    <row r="13">
      <c r="A13" s="13">
        <f>Catalogos!$A$13</f>
        <v/>
      </c>
      <c r="B13" s="14">
        <f>IF(Catalogos!$A$13="","",SUMIFS('_Movimientos'!$H:$H,'_Movimientos'!$B:$B,Catalogos!$A$13))</f>
        <v/>
      </c>
      <c r="C13" s="14">
        <f>IF(Catalogos!$A$13="","",B13*FactorCargaSocial)</f>
        <v/>
      </c>
      <c r="D13" s="15">
        <f>IF(Catalogos!$A$13="","",B13+C13)</f>
        <v/>
      </c>
    </row>
    <row r="14">
      <c r="A14" s="13">
        <f>Catalogos!$A$14</f>
        <v/>
      </c>
      <c r="B14" s="14">
        <f>IF(Catalogos!$A$14="","",SUMIFS('_Movimientos'!$H:$H,'_Movimientos'!$B:$B,Catalogos!$A$14))</f>
        <v/>
      </c>
      <c r="C14" s="14">
        <f>IF(Catalogos!$A$14="","",B14*FactorCargaSocial)</f>
        <v/>
      </c>
      <c r="D14" s="15">
        <f>IF(Catalogos!$A$14="","",B14+C14)</f>
        <v/>
      </c>
    </row>
    <row r="15">
      <c r="A15" s="13">
        <f>Catalogos!$A$15</f>
        <v/>
      </c>
      <c r="B15" s="14">
        <f>IF(Catalogos!$A$15="","",SUMIFS('_Movimientos'!$H:$H,'_Movimientos'!$B:$B,Catalogos!$A$15))</f>
        <v/>
      </c>
      <c r="C15" s="14">
        <f>IF(Catalogos!$A$15="","",B15*FactorCargaSocial)</f>
        <v/>
      </c>
      <c r="D15" s="15">
        <f>IF(Catalogos!$A$15="","",B15+C15)</f>
        <v/>
      </c>
    </row>
    <row r="16">
      <c r="A16" s="13">
        <f>Catalogos!$A$16</f>
        <v/>
      </c>
      <c r="B16" s="14">
        <f>IF(Catalogos!$A$16="","",SUMIFS('_Movimientos'!$H:$H,'_Movimientos'!$B:$B,Catalogos!$A$16))</f>
        <v/>
      </c>
      <c r="C16" s="14">
        <f>IF(Catalogos!$A$16="","",B16*FactorCargaSocial)</f>
        <v/>
      </c>
      <c r="D16" s="15">
        <f>IF(Catalogos!$A$16="","",B16+C16)</f>
        <v/>
      </c>
    </row>
    <row r="17">
      <c r="A17" s="13">
        <f>Catalogos!$A$17</f>
        <v/>
      </c>
      <c r="B17" s="14">
        <f>IF(Catalogos!$A$17="","",SUMIFS('_Movimientos'!$H:$H,'_Movimientos'!$B:$B,Catalogos!$A$17))</f>
        <v/>
      </c>
      <c r="C17" s="14">
        <f>IF(Catalogos!$A$17="","",B17*FactorCargaSocial)</f>
        <v/>
      </c>
      <c r="D17" s="15">
        <f>IF(Catalogos!$A$17="","",B17+C17)</f>
        <v/>
      </c>
    </row>
    <row r="18">
      <c r="A18" s="13">
        <f>Catalogos!$A$18</f>
        <v/>
      </c>
      <c r="B18" s="14">
        <f>IF(Catalogos!$A$18="","",SUMIFS('_Movimientos'!$H:$H,'_Movimientos'!$B:$B,Catalogos!$A$18))</f>
        <v/>
      </c>
      <c r="C18" s="14">
        <f>IF(Catalogos!$A$18="","",B18*FactorCargaSocial)</f>
        <v/>
      </c>
      <c r="D18" s="15">
        <f>IF(Catalogos!$A$18="","",B18+C18)</f>
        <v/>
      </c>
    </row>
    <row r="19">
      <c r="A19" s="13">
        <f>Catalogos!$A$19</f>
        <v/>
      </c>
      <c r="B19" s="14">
        <f>IF(Catalogos!$A$19="","",SUMIFS('_Movimientos'!$H:$H,'_Movimientos'!$B:$B,Catalogos!$A$19))</f>
        <v/>
      </c>
      <c r="C19" s="14">
        <f>IF(Catalogos!$A$19="","",B19*FactorCargaSocial)</f>
        <v/>
      </c>
      <c r="D19" s="15">
        <f>IF(Catalogos!$A$19="","",B19+C19)</f>
        <v/>
      </c>
    </row>
    <row r="20">
      <c r="A20" s="13">
        <f>Catalogos!$A$20</f>
        <v/>
      </c>
      <c r="B20" s="14">
        <f>IF(Catalogos!$A$20="","",SUMIFS('_Movimientos'!$H:$H,'_Movimientos'!$B:$B,Catalogos!$A$20))</f>
        <v/>
      </c>
      <c r="C20" s="14">
        <f>IF(Catalogos!$A$20="","",B20*FactorCargaSocial)</f>
        <v/>
      </c>
      <c r="D20" s="15">
        <f>IF(Catalogos!$A$20="","",B20+C20)</f>
        <v/>
      </c>
    </row>
    <row r="21">
      <c r="A21" s="13">
        <f>Catalogos!$A$21</f>
        <v/>
      </c>
      <c r="B21" s="14">
        <f>IF(Catalogos!$A$21="","",SUMIFS('_Movimientos'!$H:$H,'_Movimientos'!$B:$B,Catalogos!$A$21))</f>
        <v/>
      </c>
      <c r="C21" s="14">
        <f>IF(Catalogos!$A$21="","",B21*FactorCargaSocial)</f>
        <v/>
      </c>
      <c r="D21" s="15">
        <f>IF(Catalogos!$A$21="","",B21+C21)</f>
        <v/>
      </c>
    </row>
    <row r="22">
      <c r="A22" s="13">
        <f>Catalogos!$A$22</f>
        <v/>
      </c>
      <c r="B22" s="14">
        <f>IF(Catalogos!$A$22="","",SUMIFS('_Movimientos'!$H:$H,'_Movimientos'!$B:$B,Catalogos!$A$22))</f>
        <v/>
      </c>
      <c r="C22" s="14">
        <f>IF(Catalogos!$A$22="","",B22*FactorCargaSocial)</f>
        <v/>
      </c>
      <c r="D22" s="15">
        <f>IF(Catalogos!$A$22="","",B22+C22)</f>
        <v/>
      </c>
    </row>
    <row r="23">
      <c r="A23" s="13">
        <f>Catalogos!$A$23</f>
        <v/>
      </c>
      <c r="B23" s="14">
        <f>IF(Catalogos!$A$23="","",SUMIFS('_Movimientos'!$H:$H,'_Movimientos'!$B:$B,Catalogos!$A$23))</f>
        <v/>
      </c>
      <c r="C23" s="14">
        <f>IF(Catalogos!$A$23="","",B23*FactorCargaSocial)</f>
        <v/>
      </c>
      <c r="D23" s="15">
        <f>IF(Catalogos!$A$23="","",B23+C23)</f>
        <v/>
      </c>
    </row>
    <row r="24">
      <c r="A24" s="13">
        <f>Catalogos!$A$24</f>
        <v/>
      </c>
      <c r="B24" s="14">
        <f>IF(Catalogos!$A$24="","",SUMIFS('_Movimientos'!$H:$H,'_Movimientos'!$B:$B,Catalogos!$A$24))</f>
        <v/>
      </c>
      <c r="C24" s="14">
        <f>IF(Catalogos!$A$24="","",B24*FactorCargaSocial)</f>
        <v/>
      </c>
      <c r="D24" s="15">
        <f>IF(Catalogos!$A$24="","",B24+C24)</f>
        <v/>
      </c>
    </row>
    <row r="25">
      <c r="A25" s="13">
        <f>Catalogos!$A$25</f>
        <v/>
      </c>
      <c r="B25" s="14">
        <f>IF(Catalogos!$A$25="","",SUMIFS('_Movimientos'!$H:$H,'_Movimientos'!$B:$B,Catalogos!$A$25))</f>
        <v/>
      </c>
      <c r="C25" s="14">
        <f>IF(Catalogos!$A$25="","",B25*FactorCargaSocial)</f>
        <v/>
      </c>
      <c r="D25" s="15">
        <f>IF(Catalogos!$A$25="","",B25+C25)</f>
        <v/>
      </c>
    </row>
    <row r="26">
      <c r="A26" s="13">
        <f>Catalogos!$A$26</f>
        <v/>
      </c>
      <c r="B26" s="14">
        <f>IF(Catalogos!$A$26="","",SUMIFS('_Movimientos'!$H:$H,'_Movimientos'!$B:$B,Catalogos!$A$26))</f>
        <v/>
      </c>
      <c r="C26" s="14">
        <f>IF(Catalogos!$A$26="","",B26*FactorCargaSocial)</f>
        <v/>
      </c>
      <c r="D26" s="15">
        <f>IF(Catalogos!$A$26="","",B26+C26)</f>
        <v/>
      </c>
    </row>
    <row r="27">
      <c r="A27" s="13">
        <f>Catalogos!$A$27</f>
        <v/>
      </c>
      <c r="B27" s="14">
        <f>IF(Catalogos!$A$27="","",SUMIFS('_Movimientos'!$H:$H,'_Movimientos'!$B:$B,Catalogos!$A$27))</f>
        <v/>
      </c>
      <c r="C27" s="14">
        <f>IF(Catalogos!$A$27="","",B27*FactorCargaSocial)</f>
        <v/>
      </c>
      <c r="D27" s="15">
        <f>IF(Catalogos!$A$27="","",B27+C27)</f>
        <v/>
      </c>
    </row>
    <row r="28">
      <c r="A28" s="13">
        <f>Catalogos!$A$28</f>
        <v/>
      </c>
      <c r="B28" s="14">
        <f>IF(Catalogos!$A$28="","",SUMIFS('_Movimientos'!$H:$H,'_Movimientos'!$B:$B,Catalogos!$A$28))</f>
        <v/>
      </c>
      <c r="C28" s="14">
        <f>IF(Catalogos!$A$28="","",B28*FactorCargaSocial)</f>
        <v/>
      </c>
      <c r="D28" s="15">
        <f>IF(Catalogos!$A$28="","",B28+C28)</f>
        <v/>
      </c>
    </row>
    <row r="29">
      <c r="A29" s="13">
        <f>Catalogos!$A$29</f>
        <v/>
      </c>
      <c r="B29" s="14">
        <f>IF(Catalogos!$A$29="","",SUMIFS('_Movimientos'!$H:$H,'_Movimientos'!$B:$B,Catalogos!$A$29))</f>
        <v/>
      </c>
      <c r="C29" s="14">
        <f>IF(Catalogos!$A$29="","",B29*FactorCargaSocial)</f>
        <v/>
      </c>
      <c r="D29" s="15">
        <f>IF(Catalogos!$A$29="","",B29+C29)</f>
        <v/>
      </c>
    </row>
    <row r="30">
      <c r="A30" s="13">
        <f>Catalogos!$A$30</f>
        <v/>
      </c>
      <c r="B30" s="14">
        <f>IF(Catalogos!$A$30="","",SUMIFS('_Movimientos'!$H:$H,'_Movimientos'!$B:$B,Catalogos!$A$30))</f>
        <v/>
      </c>
      <c r="C30" s="14">
        <f>IF(Catalogos!$A$30="","",B30*FactorCargaSocial)</f>
        <v/>
      </c>
      <c r="D30" s="15">
        <f>IF(Catalogos!$A$30="","",B30+C30)</f>
        <v/>
      </c>
    </row>
    <row r="31">
      <c r="A31" s="13">
        <f>Catalogos!$A$31</f>
        <v/>
      </c>
      <c r="B31" s="14">
        <f>IF(Catalogos!$A$31="","",SUMIFS('_Movimientos'!$H:$H,'_Movimientos'!$B:$B,Catalogos!$A$31))</f>
        <v/>
      </c>
      <c r="C31" s="14">
        <f>IF(Catalogos!$A$31="","",B31*FactorCargaSocial)</f>
        <v/>
      </c>
      <c r="D31" s="15">
        <f>IF(Catalogos!$A$31="","",B31+C31)</f>
        <v/>
      </c>
    </row>
    <row r="32">
      <c r="A32" s="13">
        <f>Catalogos!$A$32</f>
        <v/>
      </c>
      <c r="B32" s="14">
        <f>IF(Catalogos!$A$32="","",SUMIFS('_Movimientos'!$H:$H,'_Movimientos'!$B:$B,Catalogos!$A$32))</f>
        <v/>
      </c>
      <c r="C32" s="14">
        <f>IF(Catalogos!$A$32="","",B32*FactorCargaSocial)</f>
        <v/>
      </c>
      <c r="D32" s="15">
        <f>IF(Catalogos!$A$32="","",B32+C32)</f>
        <v/>
      </c>
    </row>
    <row r="33">
      <c r="A33" s="13">
        <f>Catalogos!$A$33</f>
        <v/>
      </c>
      <c r="B33" s="14">
        <f>IF(Catalogos!$A$33="","",SUMIFS('_Movimientos'!$H:$H,'_Movimientos'!$B:$B,Catalogos!$A$33))</f>
        <v/>
      </c>
      <c r="C33" s="14">
        <f>IF(Catalogos!$A$33="","",B33*FactorCargaSocial)</f>
        <v/>
      </c>
      <c r="D33" s="15">
        <f>IF(Catalogos!$A$33="","",B33+C33)</f>
        <v/>
      </c>
    </row>
    <row r="34">
      <c r="A34" s="13">
        <f>Catalogos!$A$34</f>
        <v/>
      </c>
      <c r="B34" s="14">
        <f>IF(Catalogos!$A$34="","",SUMIFS('_Movimientos'!$H:$H,'_Movimientos'!$B:$B,Catalogos!$A$34))</f>
        <v/>
      </c>
      <c r="C34" s="14">
        <f>IF(Catalogos!$A$34="","",B34*FactorCargaSocial)</f>
        <v/>
      </c>
      <c r="D34" s="15">
        <f>IF(Catalogos!$A$34="","",B34+C34)</f>
        <v/>
      </c>
    </row>
    <row r="35">
      <c r="A35" s="13">
        <f>Catalogos!$A$35</f>
        <v/>
      </c>
      <c r="B35" s="14">
        <f>IF(Catalogos!$A$35="","",SUMIFS('_Movimientos'!$H:$H,'_Movimientos'!$B:$B,Catalogos!$A$35))</f>
        <v/>
      </c>
      <c r="C35" s="14">
        <f>IF(Catalogos!$A$35="","",B35*FactorCargaSocial)</f>
        <v/>
      </c>
      <c r="D35" s="15">
        <f>IF(Catalogos!$A$35="","",B35+C35)</f>
        <v/>
      </c>
    </row>
    <row r="36">
      <c r="A36" s="13">
        <f>Catalogos!$A$36</f>
        <v/>
      </c>
      <c r="B36" s="14">
        <f>IF(Catalogos!$A$36="","",SUMIFS('_Movimientos'!$H:$H,'_Movimientos'!$B:$B,Catalogos!$A$36))</f>
        <v/>
      </c>
      <c r="C36" s="14">
        <f>IF(Catalogos!$A$36="","",B36*FactorCargaSocial)</f>
        <v/>
      </c>
      <c r="D36" s="15">
        <f>IF(Catalogos!$A$36="","",B36+C36)</f>
        <v/>
      </c>
    </row>
    <row r="37">
      <c r="A37" s="13">
        <f>Catalogos!$A$37</f>
        <v/>
      </c>
      <c r="B37" s="14">
        <f>IF(Catalogos!$A$37="","",SUMIFS('_Movimientos'!$H:$H,'_Movimientos'!$B:$B,Catalogos!$A$37))</f>
        <v/>
      </c>
      <c r="C37" s="14">
        <f>IF(Catalogos!$A$37="","",B37*FactorCargaSocial)</f>
        <v/>
      </c>
      <c r="D37" s="15">
        <f>IF(Catalogos!$A$37="","",B37+C37)</f>
        <v/>
      </c>
    </row>
    <row r="38">
      <c r="A38" s="13">
        <f>Catalogos!$A$38</f>
        <v/>
      </c>
      <c r="B38" s="14">
        <f>IF(Catalogos!$A$38="","",SUMIFS('_Movimientos'!$H:$H,'_Movimientos'!$B:$B,Catalogos!$A$38))</f>
        <v/>
      </c>
      <c r="C38" s="14">
        <f>IF(Catalogos!$A$38="","",B38*FactorCargaSocial)</f>
        <v/>
      </c>
      <c r="D38" s="15">
        <f>IF(Catalogos!$A$38="","",B38+C38)</f>
        <v/>
      </c>
    </row>
    <row r="39">
      <c r="A39" s="13">
        <f>Catalogos!$A$39</f>
        <v/>
      </c>
      <c r="B39" s="14">
        <f>IF(Catalogos!$A$39="","",SUMIFS('_Movimientos'!$H:$H,'_Movimientos'!$B:$B,Catalogos!$A$39))</f>
        <v/>
      </c>
      <c r="C39" s="14">
        <f>IF(Catalogos!$A$39="","",B39*FactorCargaSocial)</f>
        <v/>
      </c>
      <c r="D39" s="15">
        <f>IF(Catalogos!$A$39="","",B39+C39)</f>
        <v/>
      </c>
    </row>
    <row r="40">
      <c r="A40" s="13">
        <f>Catalogos!$A$40</f>
        <v/>
      </c>
      <c r="B40" s="14">
        <f>IF(Catalogos!$A$40="","",SUMIFS('_Movimientos'!$H:$H,'_Movimientos'!$B:$B,Catalogos!$A$40))</f>
        <v/>
      </c>
      <c r="C40" s="14">
        <f>IF(Catalogos!$A$40="","",B40*FactorCargaSocial)</f>
        <v/>
      </c>
      <c r="D40" s="15">
        <f>IF(Catalogos!$A$40="","",B40+C40)</f>
        <v/>
      </c>
    </row>
    <row r="41">
      <c r="A41" s="13">
        <f>Catalogos!$A$41</f>
        <v/>
      </c>
      <c r="B41" s="14">
        <f>IF(Catalogos!$A$41="","",SUMIFS('_Movimientos'!$H:$H,'_Movimientos'!$B:$B,Catalogos!$A$41))</f>
        <v/>
      </c>
      <c r="C41" s="14">
        <f>IF(Catalogos!$A$41="","",B41*FactorCargaSocial)</f>
        <v/>
      </c>
      <c r="D41" s="15">
        <f>IF(Catalogos!$A$41="","",B41+C41)</f>
        <v/>
      </c>
    </row>
    <row r="42">
      <c r="A42" s="13">
        <f>Catalogos!$A$42</f>
        <v/>
      </c>
      <c r="B42" s="14">
        <f>IF(Catalogos!$A$42="","",SUMIFS('_Movimientos'!$H:$H,'_Movimientos'!$B:$B,Catalogos!$A$42))</f>
        <v/>
      </c>
      <c r="C42" s="14">
        <f>IF(Catalogos!$A$42="","",B42*FactorCargaSocial)</f>
        <v/>
      </c>
      <c r="D42" s="15">
        <f>IF(Catalogos!$A$42="","",B42+C42)</f>
        <v/>
      </c>
    </row>
    <row r="43">
      <c r="A43" s="13">
        <f>Catalogos!$A$43</f>
        <v/>
      </c>
      <c r="B43" s="14">
        <f>IF(Catalogos!$A$43="","",SUMIFS('_Movimientos'!$H:$H,'_Movimientos'!$B:$B,Catalogos!$A$43))</f>
        <v/>
      </c>
      <c r="C43" s="14">
        <f>IF(Catalogos!$A$43="","",B43*FactorCargaSocial)</f>
        <v/>
      </c>
      <c r="D43" s="15">
        <f>IF(Catalogos!$A$43="","",B43+C43)</f>
        <v/>
      </c>
    </row>
    <row r="44">
      <c r="A44" s="13">
        <f>Catalogos!$A$44</f>
        <v/>
      </c>
      <c r="B44" s="14">
        <f>IF(Catalogos!$A$44="","",SUMIFS('_Movimientos'!$H:$H,'_Movimientos'!$B:$B,Catalogos!$A$44))</f>
        <v/>
      </c>
      <c r="C44" s="14">
        <f>IF(Catalogos!$A$44="","",B44*FactorCargaSocial)</f>
        <v/>
      </c>
      <c r="D44" s="15">
        <f>IF(Catalogos!$A$44="","",B44+C44)</f>
        <v/>
      </c>
    </row>
    <row r="45">
      <c r="A45" s="13">
        <f>Catalogos!$A$45</f>
        <v/>
      </c>
      <c r="B45" s="14">
        <f>IF(Catalogos!$A$45="","",SUMIFS('_Movimientos'!$H:$H,'_Movimientos'!$B:$B,Catalogos!$A$45))</f>
        <v/>
      </c>
      <c r="C45" s="14">
        <f>IF(Catalogos!$A$45="","",B45*FactorCargaSocial)</f>
        <v/>
      </c>
      <c r="D45" s="15">
        <f>IF(Catalogos!$A$45="","",B45+C45)</f>
        <v/>
      </c>
    </row>
    <row r="46">
      <c r="A46" s="13">
        <f>Catalogos!$A$46</f>
        <v/>
      </c>
      <c r="B46" s="14">
        <f>IF(Catalogos!$A$46="","",SUMIFS('_Movimientos'!$H:$H,'_Movimientos'!$B:$B,Catalogos!$A$46))</f>
        <v/>
      </c>
      <c r="C46" s="14">
        <f>IF(Catalogos!$A$46="","",B46*FactorCargaSocial)</f>
        <v/>
      </c>
      <c r="D46" s="15">
        <f>IF(Catalogos!$A$46="","",B46+C46)</f>
        <v/>
      </c>
    </row>
    <row r="47">
      <c r="A47" s="13">
        <f>Catalogos!$A$47</f>
        <v/>
      </c>
      <c r="B47" s="14">
        <f>IF(Catalogos!$A$47="","",SUMIFS('_Movimientos'!$H:$H,'_Movimientos'!$B:$B,Catalogos!$A$47))</f>
        <v/>
      </c>
      <c r="C47" s="14">
        <f>IF(Catalogos!$A$47="","",B47*FactorCargaSocial)</f>
        <v/>
      </c>
      <c r="D47" s="15">
        <f>IF(Catalogos!$A$47="","",B47+C47)</f>
        <v/>
      </c>
    </row>
    <row r="48">
      <c r="A48" s="13">
        <f>Catalogos!$A$48</f>
        <v/>
      </c>
      <c r="B48" s="14">
        <f>IF(Catalogos!$A$48="","",SUMIFS('_Movimientos'!$H:$H,'_Movimientos'!$B:$B,Catalogos!$A$48))</f>
        <v/>
      </c>
      <c r="C48" s="14">
        <f>IF(Catalogos!$A$48="","",B48*FactorCargaSocial)</f>
        <v/>
      </c>
      <c r="D48" s="15">
        <f>IF(Catalogos!$A$48="","",B48+C48)</f>
        <v/>
      </c>
    </row>
    <row r="49">
      <c r="A49" s="13">
        <f>Catalogos!$A$49</f>
        <v/>
      </c>
      <c r="B49" s="14">
        <f>IF(Catalogos!$A$49="","",SUMIFS('_Movimientos'!$H:$H,'_Movimientos'!$B:$B,Catalogos!$A$49))</f>
        <v/>
      </c>
      <c r="C49" s="14">
        <f>IF(Catalogos!$A$49="","",B49*FactorCargaSocial)</f>
        <v/>
      </c>
      <c r="D49" s="15">
        <f>IF(Catalogos!$A$49="","",B49+C49)</f>
        <v/>
      </c>
    </row>
    <row r="50">
      <c r="A50" s="13">
        <f>Catalogos!$A$50</f>
        <v/>
      </c>
      <c r="B50" s="14">
        <f>IF(Catalogos!$A$50="","",SUMIFS('_Movimientos'!$H:$H,'_Movimientos'!$B:$B,Catalogos!$A$50))</f>
        <v/>
      </c>
      <c r="C50" s="14">
        <f>IF(Catalogos!$A$50="","",B50*FactorCargaSocial)</f>
        <v/>
      </c>
      <c r="D50" s="15">
        <f>IF(Catalogos!$A$50="","",B50+C50)</f>
        <v/>
      </c>
    </row>
    <row r="51">
      <c r="A51" s="13">
        <f>Catalogos!$A$51</f>
        <v/>
      </c>
      <c r="B51" s="14">
        <f>IF(Catalogos!$A$51="","",SUMIFS('_Movimientos'!$H:$H,'_Movimientos'!$B:$B,Catalogos!$A$51))</f>
        <v/>
      </c>
      <c r="C51" s="14">
        <f>IF(Catalogos!$A$51="","",B51*FactorCargaSocial)</f>
        <v/>
      </c>
      <c r="D51" s="15">
        <f>IF(Catalogos!$A$51="","",B51+C51)</f>
        <v/>
      </c>
    </row>
    <row r="52">
      <c r="A52" s="13">
        <f>Catalogos!$A$52</f>
        <v/>
      </c>
      <c r="B52" s="14">
        <f>IF(Catalogos!$A$52="","",SUMIFS('_Movimientos'!$H:$H,'_Movimientos'!$B:$B,Catalogos!$A$52))</f>
        <v/>
      </c>
      <c r="C52" s="14">
        <f>IF(Catalogos!$A$52="","",B52*FactorCargaSocial)</f>
        <v/>
      </c>
      <c r="D52" s="15">
        <f>IF(Catalogos!$A$52="","",B52+C52)</f>
        <v/>
      </c>
    </row>
    <row r="53">
      <c r="A53" s="13">
        <f>Catalogos!$A$53</f>
        <v/>
      </c>
      <c r="B53" s="14">
        <f>IF(Catalogos!$A$53="","",SUMIFS('_Movimientos'!$H:$H,'_Movimientos'!$B:$B,Catalogos!$A$53))</f>
        <v/>
      </c>
      <c r="C53" s="14">
        <f>IF(Catalogos!$A$53="","",B53*FactorCargaSocial)</f>
        <v/>
      </c>
      <c r="D53" s="15">
        <f>IF(Catalogos!$A$53="","",B53+C53)</f>
        <v/>
      </c>
    </row>
    <row r="54">
      <c r="A54" s="16" t="inlineStr">
        <is>
          <t>TOTAL GENERAL</t>
        </is>
      </c>
      <c r="B54" s="17">
        <f>SUM(B4:B53)</f>
        <v/>
      </c>
      <c r="C54" s="17">
        <f>SUM(C4:C53)</f>
        <v/>
      </c>
      <c r="D54" s="17">
        <f>SUM(D4:D53)</f>
        <v/>
      </c>
    </row>
  </sheetData>
  <mergeCells count="1">
    <mergeCell ref="A1:D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"/>
  <sheetViews>
    <sheetView showGridLines="0" workbookViewId="0">
      <selection activeCell="A1" sqref="A1"/>
    </sheetView>
  </sheetViews>
  <sheetFormatPr baseColWidth="8" defaultRowHeight="15"/>
  <cols>
    <col width="20" customWidth="1" min="1" max="1"/>
    <col width="3" customWidth="1" min="2" max="2"/>
    <col width="28" customWidth="1" min="3" max="3"/>
    <col width="3" customWidth="1" min="4" max="4"/>
    <col width="24" customWidth="1" min="5" max="5"/>
    <col width="3" customWidth="1" min="6" max="6"/>
    <col width="24" customWidth="1" min="7" max="7"/>
    <col width="14" customWidth="1" min="8" max="8"/>
  </cols>
  <sheetData>
    <row r="1">
      <c r="A1" s="1" t="inlineStr">
        <is>
          <t>CATALOGOS</t>
        </is>
      </c>
    </row>
    <row r="3">
      <c r="A3" s="18" t="inlineStr">
        <is>
          <t>Proyectos</t>
        </is>
      </c>
      <c r="C3" s="18" t="inlineStr">
        <is>
          <t>Empleados</t>
        </is>
      </c>
      <c r="E3" s="18" t="inlineStr">
        <is>
          <t>Conceptos</t>
        </is>
      </c>
      <c r="G3" s="18" t="inlineStr">
        <is>
          <t>Parametros</t>
        </is>
      </c>
    </row>
    <row r="4">
      <c r="A4" s="19" t="inlineStr">
        <is>
          <t>Tabmex</t>
        </is>
      </c>
      <c r="C4" s="19" t="inlineStr">
        <is>
          <t>(captura aqui tus empleados)</t>
        </is>
      </c>
      <c r="E4" s="19" t="inlineStr">
        <is>
          <t>Sueldo base</t>
        </is>
      </c>
      <c r="G4" s="20" t="inlineStr">
        <is>
          <t>Factor de carga social patronal (%)</t>
        </is>
      </c>
      <c r="H4" s="21" t="n">
        <v>0</v>
      </c>
    </row>
    <row r="5">
      <c r="A5" s="19" t="inlineStr">
        <is>
          <t>Contrato voceo</t>
        </is>
      </c>
      <c r="E5" s="19" t="inlineStr">
        <is>
          <t>Bono de productividad</t>
        </is>
      </c>
    </row>
    <row r="6">
      <c r="A6" s="19" t="inlineStr">
        <is>
          <t>Producción</t>
        </is>
      </c>
      <c r="E6" s="19" t="inlineStr">
        <is>
          <t>Bono puntualidad</t>
        </is>
      </c>
      <c r="G6" s="11" t="inlineStr">
        <is>
          <t>Estimado de IMSS, Infonavit y provisiones (aguinaldo, prima vacacional). En 0% solo se cuenta lo pagado en mano. Subelo para reflejar el costo patronal real por proyecto.</t>
        </is>
      </c>
    </row>
    <row r="7">
      <c r="E7" s="19" t="inlineStr">
        <is>
          <t>Aguinaldo</t>
        </is>
      </c>
    </row>
    <row r="8">
      <c r="E8" s="19" t="inlineStr">
        <is>
          <t>Prima vacacional</t>
        </is>
      </c>
    </row>
    <row r="9">
      <c r="E9" s="19" t="inlineStr">
        <is>
          <t>Comisiones</t>
        </is>
      </c>
    </row>
    <row r="10">
      <c r="E10" s="19" t="inlineStr">
        <is>
          <t>Otra prestacion</t>
        </is>
      </c>
    </row>
  </sheetData>
  <mergeCells count="2">
    <mergeCell ref="G6:H9"/>
    <mergeCell ref="A1:H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Tabmex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Contrato voceo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Producción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24" customWidth="1" min="3" max="3"/>
    <col width="22" customWidth="1" min="4" max="4"/>
    <col width="14" customWidth="1" min="5" max="5"/>
    <col width="14" customWidth="1" min="6" max="6"/>
    <col width="16" customWidth="1" min="7" max="7"/>
    <col width="16" customWidth="1" min="8" max="8"/>
  </cols>
  <sheetData>
    <row r="1">
      <c r="A1" s="12" t="inlineStr">
        <is>
          <t>Fecha</t>
        </is>
      </c>
      <c r="B1" s="12" t="inlineStr">
        <is>
          <t>Proyecto</t>
        </is>
      </c>
      <c r="C1" s="12" t="inlineStr">
        <is>
          <t>Empleado</t>
        </is>
      </c>
      <c r="D1" s="12" t="inlineStr">
        <is>
          <t>Concepto</t>
        </is>
      </c>
      <c r="E1" s="12" t="inlineStr">
        <is>
          <t>Sueldo</t>
        </is>
      </c>
      <c r="F1" s="12" t="inlineStr">
        <is>
          <t>Bonos</t>
        </is>
      </c>
      <c r="G1" s="12" t="inlineStr">
        <is>
          <t>Otras prestaciones</t>
        </is>
      </c>
      <c r="H1" s="12" t="inlineStr">
        <is>
          <t>Total percibido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_Plantilla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2026-06-15T21:51:01Z</dcterms:created>
  <dcterms:modified xsi:type="dcterms:W3CDTF">2026-06-15T21:51:01Z</dcterms:modified>
</cp:coreProperties>
</file>